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f94b5c6fc22641/Desktop/Fin Models/"/>
    </mc:Choice>
  </mc:AlternateContent>
  <xr:revisionPtr revIDLastSave="1756" documentId="8_{4C7159C3-ED26-4A41-882F-DE8AF19F0E59}" xr6:coauthVersionLast="47" xr6:coauthVersionMax="47" xr10:uidLastSave="{95390D5C-DC2B-4434-BDF9-5F60497005E4}"/>
  <bookViews>
    <workbookView xWindow="-110" yWindow="-110" windowWidth="19420" windowHeight="10300" firstSheet="10" activeTab="10" xr2:uid="{9A059FF1-48D5-4E06-83EF-67BA09BAC60E}"/>
  </bookViews>
  <sheets>
    <sheet name="DASHBOARD" sheetId="25" r:id="rId1"/>
    <sheet name="FS" sheetId="26" r:id="rId2"/>
    <sheet name="Financials&gt;&gt;" sheetId="6" r:id="rId3"/>
    <sheet name="Historical FS" sheetId="7" r:id="rId4"/>
    <sheet name="Ratio Analysis" sheetId="8" r:id="rId5"/>
    <sheet name="Dupont" sheetId="10" r:id="rId6"/>
    <sheet name="KPIs" sheetId="9" r:id="rId7"/>
    <sheet name="Scenarios&gt;&gt;" sheetId="21" r:id="rId8"/>
    <sheet name="Scenarios" sheetId="22" r:id="rId9"/>
    <sheet name="Forecast&gt;&gt;" sheetId="11" r:id="rId10"/>
    <sheet name="Forecast Drivers" sheetId="12" r:id="rId11"/>
    <sheet name="Forecasted FS" sheetId="13" r:id="rId12"/>
    <sheet name="Comprables" sheetId="24" r:id="rId13"/>
    <sheet name="EV-EBITDA" sheetId="23" r:id="rId14"/>
    <sheet name="DCF Valuation &gt;&gt;" sheetId="15" r:id="rId15"/>
    <sheet name="DCF" sheetId="16" r:id="rId16"/>
    <sheet name="WACC" sheetId="17" r:id="rId17"/>
    <sheet name="CAPM" sheetId="18" r:id="rId18"/>
    <sheet name="BETA" sheetId="19" r:id="rId19"/>
    <sheet name="DATA&gt;&gt;" sheetId="1" r:id="rId20"/>
    <sheet name="DATA Sheet" sheetId="2" r:id="rId21"/>
    <sheet name="Balance sheet" sheetId="3" r:id="rId22"/>
    <sheet name="CF" sheetId="5" r:id="rId23"/>
    <sheet name="P&amp;L" sheetId="14" r:id="rId24"/>
    <sheet name="KPI" sheetId="4" r:id="rId25"/>
  </sheets>
  <definedNames>
    <definedName name="_xlnm._FilterDatabase" localSheetId="18" hidden="1">BETA!$B$4:$D$1245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6" l="1"/>
  <c r="B30" i="16"/>
  <c r="F23" i="16"/>
  <c r="F20" i="16"/>
  <c r="C9" i="23"/>
  <c r="D32" i="26"/>
  <c r="D37" i="26"/>
  <c r="E37" i="26"/>
  <c r="F37" i="26"/>
  <c r="G37" i="26"/>
  <c r="H37" i="26"/>
  <c r="H33" i="26" s="1"/>
  <c r="I37" i="26"/>
  <c r="I33" i="26" s="1"/>
  <c r="J37" i="26"/>
  <c r="J33" i="26" s="1"/>
  <c r="K37" i="26"/>
  <c r="K33" i="26" s="1"/>
  <c r="L37" i="26"/>
  <c r="L33" i="26" s="1"/>
  <c r="C37" i="26"/>
  <c r="D33" i="26" s="1"/>
  <c r="D36" i="26"/>
  <c r="E36" i="26"/>
  <c r="E32" i="26" s="1"/>
  <c r="F36" i="26"/>
  <c r="F32" i="26" s="1"/>
  <c r="G36" i="26"/>
  <c r="G32" i="26" s="1"/>
  <c r="H36" i="26"/>
  <c r="H32" i="26" s="1"/>
  <c r="I36" i="26"/>
  <c r="I32" i="26" s="1"/>
  <c r="J36" i="26"/>
  <c r="J32" i="26" s="1"/>
  <c r="K36" i="26"/>
  <c r="K32" i="26" s="1"/>
  <c r="L36" i="26"/>
  <c r="L32" i="26" s="1"/>
  <c r="C36" i="26"/>
  <c r="C32" i="26" s="1"/>
  <c r="D31" i="26"/>
  <c r="E31" i="26" s="1"/>
  <c r="F31" i="26" s="1"/>
  <c r="G31" i="26" s="1"/>
  <c r="H31" i="26" s="1"/>
  <c r="I31" i="26" s="1"/>
  <c r="J31" i="26" s="1"/>
  <c r="K31" i="26" s="1"/>
  <c r="L31" i="26" s="1"/>
  <c r="M31" i="26" s="1"/>
  <c r="N31" i="26" s="1"/>
  <c r="O31" i="26" s="1"/>
  <c r="P31" i="26" s="1"/>
  <c r="Q31" i="26" s="1"/>
  <c r="H10" i="22"/>
  <c r="D29" i="26"/>
  <c r="E29" i="26"/>
  <c r="F29" i="26"/>
  <c r="C29" i="26"/>
  <c r="D19" i="12"/>
  <c r="D20" i="12"/>
  <c r="F20" i="12"/>
  <c r="H24" i="26"/>
  <c r="I24" i="26"/>
  <c r="J24" i="26"/>
  <c r="K24" i="26"/>
  <c r="L24" i="26"/>
  <c r="D22" i="26"/>
  <c r="E22" i="26" s="1"/>
  <c r="F22" i="26" s="1"/>
  <c r="G22" i="26" s="1"/>
  <c r="H22" i="26" s="1"/>
  <c r="I22" i="26" s="1"/>
  <c r="J22" i="26" s="1"/>
  <c r="K22" i="26" s="1"/>
  <c r="L22" i="26" s="1"/>
  <c r="M22" i="26" s="1"/>
  <c r="N22" i="26" s="1"/>
  <c r="O22" i="26" s="1"/>
  <c r="P22" i="26" s="1"/>
  <c r="Q22" i="26" s="1"/>
  <c r="C20" i="26"/>
  <c r="C24" i="26" s="1"/>
  <c r="D23" i="26"/>
  <c r="E23" i="26"/>
  <c r="F23" i="26"/>
  <c r="G23" i="26"/>
  <c r="H23" i="26"/>
  <c r="I23" i="26"/>
  <c r="J23" i="26"/>
  <c r="K23" i="26"/>
  <c r="L23" i="26"/>
  <c r="C23" i="26"/>
  <c r="D20" i="26"/>
  <c r="D24" i="26" s="1"/>
  <c r="E20" i="26"/>
  <c r="E24" i="26" s="1"/>
  <c r="F20" i="26"/>
  <c r="F24" i="26" s="1"/>
  <c r="G20" i="26"/>
  <c r="G24" i="26" s="1"/>
  <c r="H20" i="26"/>
  <c r="I20" i="26"/>
  <c r="J20" i="26"/>
  <c r="K20" i="26"/>
  <c r="L20" i="26"/>
  <c r="D19" i="26"/>
  <c r="E19" i="26" s="1"/>
  <c r="F19" i="26" s="1"/>
  <c r="G19" i="26" s="1"/>
  <c r="H19" i="26" s="1"/>
  <c r="I19" i="26" s="1"/>
  <c r="J19" i="26" s="1"/>
  <c r="K19" i="26" s="1"/>
  <c r="L19" i="26" s="1"/>
  <c r="M19" i="26" s="1"/>
  <c r="N19" i="26" s="1"/>
  <c r="O19" i="26" s="1"/>
  <c r="P19" i="26" s="1"/>
  <c r="Q19" i="26" s="1"/>
  <c r="H11" i="22"/>
  <c r="N17" i="12" s="1"/>
  <c r="H12" i="22"/>
  <c r="M24" i="12" s="1"/>
  <c r="N24" i="12" s="1"/>
  <c r="O24" i="12" s="1"/>
  <c r="P24" i="12" s="1"/>
  <c r="Q24" i="12" s="1"/>
  <c r="D16" i="26"/>
  <c r="E16" i="26" s="1"/>
  <c r="F16" i="26" s="1"/>
  <c r="G16" i="26" s="1"/>
  <c r="H16" i="26" s="1"/>
  <c r="I16" i="26" s="1"/>
  <c r="J16" i="26" s="1"/>
  <c r="K16" i="26" s="1"/>
  <c r="L16" i="26" s="1"/>
  <c r="M16" i="26" s="1"/>
  <c r="N16" i="26" s="1"/>
  <c r="O16" i="26" s="1"/>
  <c r="P16" i="26" s="1"/>
  <c r="Q16" i="26" s="1"/>
  <c r="D11" i="26"/>
  <c r="E11" i="26" s="1"/>
  <c r="F11" i="26" s="1"/>
  <c r="G11" i="26" s="1"/>
  <c r="H11" i="26" s="1"/>
  <c r="I11" i="26" s="1"/>
  <c r="J11" i="26" s="1"/>
  <c r="K11" i="26" s="1"/>
  <c r="L11" i="26" s="1"/>
  <c r="M11" i="26" s="1"/>
  <c r="N11" i="26" s="1"/>
  <c r="O11" i="26" s="1"/>
  <c r="P11" i="26" s="1"/>
  <c r="Q11" i="26" s="1"/>
  <c r="D7" i="26"/>
  <c r="D13" i="26" s="1"/>
  <c r="E7" i="26"/>
  <c r="E13" i="26" s="1"/>
  <c r="F7" i="26"/>
  <c r="F13" i="26" s="1"/>
  <c r="G7" i="26"/>
  <c r="G13" i="26" s="1"/>
  <c r="H7" i="26"/>
  <c r="H13" i="26" s="1"/>
  <c r="I7" i="26"/>
  <c r="I13" i="26" s="1"/>
  <c r="J7" i="26"/>
  <c r="J13" i="26" s="1"/>
  <c r="K7" i="26"/>
  <c r="K13" i="26" s="1"/>
  <c r="L7" i="26"/>
  <c r="L13" i="26" s="1"/>
  <c r="C7" i="26"/>
  <c r="C13" i="26" s="1"/>
  <c r="D5" i="26"/>
  <c r="D17" i="26" s="1"/>
  <c r="E5" i="26"/>
  <c r="E17" i="26" s="1"/>
  <c r="F5" i="26"/>
  <c r="F17" i="26" s="1"/>
  <c r="G5" i="26"/>
  <c r="G17" i="26" s="1"/>
  <c r="H5" i="26"/>
  <c r="H17" i="26" s="1"/>
  <c r="I5" i="26"/>
  <c r="I17" i="26" s="1"/>
  <c r="J5" i="26"/>
  <c r="J17" i="26" s="1"/>
  <c r="K5" i="26"/>
  <c r="K17" i="26" s="1"/>
  <c r="L5" i="26"/>
  <c r="L17" i="26" s="1"/>
  <c r="C5" i="26"/>
  <c r="C17" i="26" s="1"/>
  <c r="D3" i="26"/>
  <c r="D12" i="26" s="1"/>
  <c r="E3" i="26"/>
  <c r="E12" i="26" s="1"/>
  <c r="F3" i="26"/>
  <c r="F12" i="26" s="1"/>
  <c r="G3" i="26"/>
  <c r="G12" i="26" s="1"/>
  <c r="H3" i="26"/>
  <c r="H12" i="26" s="1"/>
  <c r="I3" i="26"/>
  <c r="I12" i="26" s="1"/>
  <c r="J3" i="26"/>
  <c r="J12" i="26" s="1"/>
  <c r="K3" i="26"/>
  <c r="K12" i="26" s="1"/>
  <c r="L3" i="26"/>
  <c r="L12" i="26" s="1"/>
  <c r="C3" i="26"/>
  <c r="C12" i="26" s="1"/>
  <c r="D2" i="26"/>
  <c r="E2" i="26" s="1"/>
  <c r="F2" i="26" s="1"/>
  <c r="G2" i="26" s="1"/>
  <c r="H2" i="26" s="1"/>
  <c r="I2" i="26" s="1"/>
  <c r="J2" i="26" s="1"/>
  <c r="K2" i="26" s="1"/>
  <c r="L2" i="26" s="1"/>
  <c r="M2" i="26" s="1"/>
  <c r="N2" i="26" s="1"/>
  <c r="O2" i="26" s="1"/>
  <c r="P2" i="26" s="1"/>
  <c r="Q2" i="26" s="1"/>
  <c r="J5" i="13"/>
  <c r="H7" i="22"/>
  <c r="H8" i="22"/>
  <c r="H9" i="22"/>
  <c r="N10" i="12" s="1"/>
  <c r="H6" i="22"/>
  <c r="C5" i="10"/>
  <c r="H5" i="7"/>
  <c r="D6" i="10"/>
  <c r="E6" i="10"/>
  <c r="F6" i="10"/>
  <c r="G6" i="10"/>
  <c r="H6" i="10"/>
  <c r="I6" i="10"/>
  <c r="J6" i="10"/>
  <c r="K6" i="10"/>
  <c r="L6" i="10"/>
  <c r="C6" i="10"/>
  <c r="D5" i="10"/>
  <c r="E5" i="10"/>
  <c r="F5" i="10"/>
  <c r="G5" i="10"/>
  <c r="H5" i="10"/>
  <c r="I5" i="10"/>
  <c r="J5" i="10"/>
  <c r="K5" i="10"/>
  <c r="L5" i="10"/>
  <c r="D4" i="10"/>
  <c r="E4" i="10"/>
  <c r="F4" i="10"/>
  <c r="G4" i="10"/>
  <c r="I4" i="10"/>
  <c r="J4" i="10"/>
  <c r="K4" i="10"/>
  <c r="L4" i="10"/>
  <c r="C4" i="10"/>
  <c r="D8" i="10"/>
  <c r="E8" i="10"/>
  <c r="B2" i="10"/>
  <c r="D9" i="23"/>
  <c r="D14" i="23" s="1"/>
  <c r="E9" i="23"/>
  <c r="E14" i="23" s="1"/>
  <c r="F9" i="23"/>
  <c r="F14" i="23" s="1"/>
  <c r="C12" i="23"/>
  <c r="C8" i="23"/>
  <c r="C7" i="23"/>
  <c r="C6" i="23"/>
  <c r="C14" i="23" s="1"/>
  <c r="G33" i="26" l="1"/>
  <c r="C33" i="26"/>
  <c r="F33" i="26"/>
  <c r="E33" i="26"/>
  <c r="M10" i="12"/>
  <c r="Q10" i="12"/>
  <c r="P10" i="12"/>
  <c r="O10" i="12"/>
  <c r="M17" i="12"/>
  <c r="Q17" i="12"/>
  <c r="P17" i="12"/>
  <c r="O17" i="12"/>
  <c r="C8" i="10"/>
  <c r="L8" i="10"/>
  <c r="K8" i="10"/>
  <c r="J8" i="10"/>
  <c r="I8" i="10"/>
  <c r="G8" i="10"/>
  <c r="F8" i="10"/>
  <c r="M37" i="12"/>
  <c r="O40" i="12"/>
  <c r="O13" i="12"/>
  <c r="J6" i="16"/>
  <c r="D28" i="16" s="1"/>
  <c r="E28" i="16" s="1"/>
  <c r="F28" i="16" s="1"/>
  <c r="G28" i="16" s="1"/>
  <c r="F22" i="16"/>
  <c r="F21" i="16"/>
  <c r="N13" i="12" l="1"/>
  <c r="M13" i="12"/>
  <c r="Q13" i="12"/>
  <c r="P13" i="12"/>
  <c r="O37" i="12"/>
  <c r="P40" i="12"/>
  <c r="N37" i="12"/>
  <c r="N40" i="12"/>
  <c r="Q37" i="12"/>
  <c r="P37" i="12"/>
  <c r="M40" i="12"/>
  <c r="Q40" i="12"/>
  <c r="C28" i="16"/>
  <c r="C7" i="18"/>
  <c r="C9" i="18" s="1"/>
  <c r="H5" i="17" s="1"/>
  <c r="I5" i="17" s="1"/>
  <c r="I7" i="17" s="1"/>
  <c r="K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3" i="19"/>
  <c r="H174" i="19"/>
  <c r="H175" i="19"/>
  <c r="H176" i="19"/>
  <c r="H177" i="19"/>
  <c r="H178" i="19"/>
  <c r="H179" i="19"/>
  <c r="H180" i="19"/>
  <c r="H181" i="19"/>
  <c r="H182" i="19"/>
  <c r="H183" i="19"/>
  <c r="H184" i="19"/>
  <c r="H185" i="19"/>
  <c r="H186" i="19"/>
  <c r="H187" i="19"/>
  <c r="H188" i="19"/>
  <c r="H189" i="19"/>
  <c r="H190" i="19"/>
  <c r="H191" i="19"/>
  <c r="H192" i="19"/>
  <c r="H193" i="19"/>
  <c r="H194" i="19"/>
  <c r="H195" i="19"/>
  <c r="H196" i="19"/>
  <c r="H197" i="19"/>
  <c r="H198" i="19"/>
  <c r="H199" i="19"/>
  <c r="H200" i="19"/>
  <c r="H201" i="19"/>
  <c r="H202" i="19"/>
  <c r="H203" i="19"/>
  <c r="H204" i="19"/>
  <c r="H205" i="19"/>
  <c r="H206" i="19"/>
  <c r="H207" i="19"/>
  <c r="H208" i="19"/>
  <c r="H209" i="19"/>
  <c r="H210" i="19"/>
  <c r="H211" i="19"/>
  <c r="H212" i="19"/>
  <c r="H213" i="19"/>
  <c r="H214" i="19"/>
  <c r="H215" i="19"/>
  <c r="H216" i="19"/>
  <c r="H217" i="19"/>
  <c r="H218" i="19"/>
  <c r="H219" i="19"/>
  <c r="H220" i="19"/>
  <c r="H221" i="19"/>
  <c r="H222" i="19"/>
  <c r="H223" i="19"/>
  <c r="H224" i="19"/>
  <c r="H225" i="19"/>
  <c r="H226" i="19"/>
  <c r="H227" i="19"/>
  <c r="H228" i="19"/>
  <c r="H229" i="19"/>
  <c r="H230" i="19"/>
  <c r="H231" i="19"/>
  <c r="H232" i="19"/>
  <c r="H233" i="19"/>
  <c r="H234" i="19"/>
  <c r="H235" i="19"/>
  <c r="H236" i="19"/>
  <c r="H237" i="19"/>
  <c r="H238" i="19"/>
  <c r="H239" i="19"/>
  <c r="H240" i="19"/>
  <c r="H241" i="19"/>
  <c r="H242" i="19"/>
  <c r="H243" i="19"/>
  <c r="H244" i="19"/>
  <c r="H245" i="19"/>
  <c r="H246" i="19"/>
  <c r="H247" i="19"/>
  <c r="H248" i="19"/>
  <c r="H249" i="19"/>
  <c r="H250" i="19"/>
  <c r="H251" i="19"/>
  <c r="H252" i="19"/>
  <c r="H253" i="19"/>
  <c r="H254" i="19"/>
  <c r="H255" i="19"/>
  <c r="H256" i="19"/>
  <c r="H257" i="19"/>
  <c r="H258" i="19"/>
  <c r="H259" i="19"/>
  <c r="H260" i="19"/>
  <c r="H261" i="19"/>
  <c r="H262" i="19"/>
  <c r="H263" i="19"/>
  <c r="H264" i="19"/>
  <c r="H265" i="19"/>
  <c r="H266" i="19"/>
  <c r="H267" i="19"/>
  <c r="H268" i="19"/>
  <c r="H269" i="19"/>
  <c r="H270" i="19"/>
  <c r="H271" i="19"/>
  <c r="H272" i="19"/>
  <c r="H273" i="19"/>
  <c r="H274" i="19"/>
  <c r="H275" i="19"/>
  <c r="H276" i="19"/>
  <c r="H277" i="19"/>
  <c r="H278" i="19"/>
  <c r="H279" i="19"/>
  <c r="H280" i="19"/>
  <c r="H281" i="19"/>
  <c r="H282" i="19"/>
  <c r="H283" i="19"/>
  <c r="H284" i="19"/>
  <c r="H285" i="19"/>
  <c r="H286" i="19"/>
  <c r="H287" i="19"/>
  <c r="H288" i="19"/>
  <c r="H289" i="19"/>
  <c r="H290" i="19"/>
  <c r="H291" i="19"/>
  <c r="H292" i="19"/>
  <c r="H293" i="19"/>
  <c r="H294" i="19"/>
  <c r="H295" i="19"/>
  <c r="H296" i="19"/>
  <c r="H297" i="19"/>
  <c r="H298" i="19"/>
  <c r="H299" i="19"/>
  <c r="H300" i="19"/>
  <c r="H301" i="19"/>
  <c r="H302" i="19"/>
  <c r="H303" i="19"/>
  <c r="H304" i="19"/>
  <c r="H305" i="19"/>
  <c r="H306" i="19"/>
  <c r="H307" i="19"/>
  <c r="H308" i="19"/>
  <c r="H309" i="19"/>
  <c r="H310" i="19"/>
  <c r="H311" i="19"/>
  <c r="H312" i="19"/>
  <c r="H313" i="19"/>
  <c r="H314" i="19"/>
  <c r="H315" i="19"/>
  <c r="H316" i="19"/>
  <c r="H317" i="19"/>
  <c r="H318" i="19"/>
  <c r="H319" i="19"/>
  <c r="H320" i="19"/>
  <c r="H321" i="19"/>
  <c r="H322" i="19"/>
  <c r="H323" i="19"/>
  <c r="H324" i="19"/>
  <c r="H325" i="19"/>
  <c r="H326" i="19"/>
  <c r="H327" i="19"/>
  <c r="H328" i="19"/>
  <c r="H329" i="19"/>
  <c r="H330" i="19"/>
  <c r="H331" i="19"/>
  <c r="H332" i="19"/>
  <c r="H333" i="19"/>
  <c r="H334" i="19"/>
  <c r="H335" i="19"/>
  <c r="H336" i="19"/>
  <c r="H337" i="19"/>
  <c r="H338" i="19"/>
  <c r="H339" i="19"/>
  <c r="H340" i="19"/>
  <c r="H341" i="19"/>
  <c r="H342" i="19"/>
  <c r="H343" i="19"/>
  <c r="H344" i="19"/>
  <c r="H345" i="19"/>
  <c r="H346" i="19"/>
  <c r="H347" i="19"/>
  <c r="H348" i="19"/>
  <c r="H349" i="19"/>
  <c r="H350" i="19"/>
  <c r="H351" i="19"/>
  <c r="H352" i="19"/>
  <c r="H353" i="19"/>
  <c r="H354" i="19"/>
  <c r="H355" i="19"/>
  <c r="H356" i="19"/>
  <c r="H357" i="19"/>
  <c r="H358" i="19"/>
  <c r="H359" i="19"/>
  <c r="H360" i="19"/>
  <c r="H361" i="19"/>
  <c r="H362" i="19"/>
  <c r="H363" i="19"/>
  <c r="H364" i="19"/>
  <c r="H365" i="19"/>
  <c r="H366" i="19"/>
  <c r="H367" i="19"/>
  <c r="H368" i="19"/>
  <c r="H369" i="19"/>
  <c r="H370" i="19"/>
  <c r="H371" i="19"/>
  <c r="H372" i="19"/>
  <c r="H373" i="19"/>
  <c r="H374" i="19"/>
  <c r="H375" i="19"/>
  <c r="H376" i="19"/>
  <c r="H377" i="19"/>
  <c r="H378" i="19"/>
  <c r="H379" i="19"/>
  <c r="H380" i="19"/>
  <c r="H381" i="19"/>
  <c r="H382" i="19"/>
  <c r="H383" i="19"/>
  <c r="H384" i="19"/>
  <c r="H385" i="19"/>
  <c r="H386" i="19"/>
  <c r="H387" i="19"/>
  <c r="H388" i="19"/>
  <c r="H389" i="19"/>
  <c r="H390" i="19"/>
  <c r="H391" i="19"/>
  <c r="H392" i="19"/>
  <c r="H393" i="19"/>
  <c r="H394" i="19"/>
  <c r="H395" i="19"/>
  <c r="H396" i="19"/>
  <c r="H397" i="19"/>
  <c r="H398" i="19"/>
  <c r="H399" i="19"/>
  <c r="H400" i="19"/>
  <c r="H401" i="19"/>
  <c r="H402" i="19"/>
  <c r="H403" i="19"/>
  <c r="H404" i="19"/>
  <c r="H405" i="19"/>
  <c r="H406" i="19"/>
  <c r="H407" i="19"/>
  <c r="H408" i="19"/>
  <c r="H409" i="19"/>
  <c r="H410" i="19"/>
  <c r="H411" i="19"/>
  <c r="H412" i="19"/>
  <c r="H413" i="19"/>
  <c r="H414" i="19"/>
  <c r="H415" i="19"/>
  <c r="H416" i="19"/>
  <c r="H417" i="19"/>
  <c r="H418" i="19"/>
  <c r="H419" i="19"/>
  <c r="H420" i="19"/>
  <c r="H421" i="19"/>
  <c r="H422" i="19"/>
  <c r="H423" i="19"/>
  <c r="H424" i="19"/>
  <c r="H425" i="19"/>
  <c r="H426" i="19"/>
  <c r="H427" i="19"/>
  <c r="H428" i="19"/>
  <c r="H429" i="19"/>
  <c r="H430" i="19"/>
  <c r="H431" i="19"/>
  <c r="H432" i="19"/>
  <c r="H433" i="19"/>
  <c r="H434" i="19"/>
  <c r="H435" i="19"/>
  <c r="H436" i="19"/>
  <c r="H437" i="19"/>
  <c r="H438" i="19"/>
  <c r="H439" i="19"/>
  <c r="H440" i="19"/>
  <c r="H441" i="19"/>
  <c r="H442" i="19"/>
  <c r="H443" i="19"/>
  <c r="H444" i="19"/>
  <c r="H445" i="19"/>
  <c r="H446" i="19"/>
  <c r="H447" i="19"/>
  <c r="H448" i="19"/>
  <c r="H449" i="19"/>
  <c r="H450" i="19"/>
  <c r="H451" i="19"/>
  <c r="H452" i="19"/>
  <c r="H453" i="19"/>
  <c r="H454" i="19"/>
  <c r="H455" i="19"/>
  <c r="H456" i="19"/>
  <c r="H457" i="19"/>
  <c r="H458" i="19"/>
  <c r="H459" i="19"/>
  <c r="H460" i="19"/>
  <c r="H461" i="19"/>
  <c r="H462" i="19"/>
  <c r="H463" i="19"/>
  <c r="H464" i="19"/>
  <c r="H465" i="19"/>
  <c r="H466" i="19"/>
  <c r="H467" i="19"/>
  <c r="H468" i="19"/>
  <c r="H469" i="19"/>
  <c r="H470" i="19"/>
  <c r="H471" i="19"/>
  <c r="H472" i="19"/>
  <c r="H473" i="19"/>
  <c r="H474" i="19"/>
  <c r="H475" i="19"/>
  <c r="H476" i="19"/>
  <c r="H477" i="19"/>
  <c r="H478" i="19"/>
  <c r="H479" i="19"/>
  <c r="H480" i="19"/>
  <c r="H481" i="19"/>
  <c r="H482" i="19"/>
  <c r="H483" i="19"/>
  <c r="H484" i="19"/>
  <c r="H485" i="19"/>
  <c r="H486" i="19"/>
  <c r="H487" i="19"/>
  <c r="H488" i="19"/>
  <c r="H489" i="19"/>
  <c r="H490" i="19"/>
  <c r="H491" i="19"/>
  <c r="H492" i="19"/>
  <c r="H493" i="19"/>
  <c r="H494" i="19"/>
  <c r="H495" i="19"/>
  <c r="H496" i="19"/>
  <c r="H497" i="19"/>
  <c r="H498" i="19"/>
  <c r="H499" i="19"/>
  <c r="H500" i="19"/>
  <c r="H501" i="19"/>
  <c r="H502" i="19"/>
  <c r="H503" i="19"/>
  <c r="H504" i="19"/>
  <c r="H505" i="19"/>
  <c r="H506" i="19"/>
  <c r="H507" i="19"/>
  <c r="H508" i="19"/>
  <c r="H509" i="19"/>
  <c r="H510" i="19"/>
  <c r="H511" i="19"/>
  <c r="H512" i="19"/>
  <c r="H513" i="19"/>
  <c r="H514" i="19"/>
  <c r="H515" i="19"/>
  <c r="H516" i="19"/>
  <c r="H517" i="19"/>
  <c r="H518" i="19"/>
  <c r="H519" i="19"/>
  <c r="H520" i="19"/>
  <c r="H521" i="19"/>
  <c r="H522" i="19"/>
  <c r="H523" i="19"/>
  <c r="H524" i="19"/>
  <c r="H525" i="19"/>
  <c r="H526" i="19"/>
  <c r="H527" i="19"/>
  <c r="H528" i="19"/>
  <c r="H529" i="19"/>
  <c r="H530" i="19"/>
  <c r="H531" i="19"/>
  <c r="H532" i="19"/>
  <c r="H533" i="19"/>
  <c r="H534" i="19"/>
  <c r="H535" i="19"/>
  <c r="H536" i="19"/>
  <c r="H537" i="19"/>
  <c r="H538" i="19"/>
  <c r="H539" i="19"/>
  <c r="H540" i="19"/>
  <c r="H541" i="19"/>
  <c r="H542" i="19"/>
  <c r="H543" i="19"/>
  <c r="H544" i="19"/>
  <c r="H545" i="19"/>
  <c r="H546" i="19"/>
  <c r="H547" i="19"/>
  <c r="H548" i="19"/>
  <c r="H549" i="19"/>
  <c r="H550" i="19"/>
  <c r="H551" i="19"/>
  <c r="H552" i="19"/>
  <c r="H553" i="19"/>
  <c r="H554" i="19"/>
  <c r="H555" i="19"/>
  <c r="H556" i="19"/>
  <c r="H557" i="19"/>
  <c r="H558" i="19"/>
  <c r="H559" i="19"/>
  <c r="H560" i="19"/>
  <c r="H561" i="19"/>
  <c r="H562" i="19"/>
  <c r="H563" i="19"/>
  <c r="H564" i="19"/>
  <c r="H565" i="19"/>
  <c r="H566" i="19"/>
  <c r="H567" i="19"/>
  <c r="H568" i="19"/>
  <c r="H569" i="19"/>
  <c r="H570" i="19"/>
  <c r="H571" i="19"/>
  <c r="H572" i="19"/>
  <c r="H573" i="19"/>
  <c r="H574" i="19"/>
  <c r="H575" i="19"/>
  <c r="H576" i="19"/>
  <c r="H577" i="19"/>
  <c r="H578" i="19"/>
  <c r="H579" i="19"/>
  <c r="H580" i="19"/>
  <c r="H581" i="19"/>
  <c r="H582" i="19"/>
  <c r="H583" i="19"/>
  <c r="H584" i="19"/>
  <c r="H585" i="19"/>
  <c r="H586" i="19"/>
  <c r="H587" i="19"/>
  <c r="H588" i="19"/>
  <c r="H589" i="19"/>
  <c r="H590" i="19"/>
  <c r="H591" i="19"/>
  <c r="H592" i="19"/>
  <c r="H593" i="19"/>
  <c r="H594" i="19"/>
  <c r="H595" i="19"/>
  <c r="H596" i="19"/>
  <c r="H597" i="19"/>
  <c r="H598" i="19"/>
  <c r="H599" i="19"/>
  <c r="H600" i="19"/>
  <c r="H601" i="19"/>
  <c r="H602" i="19"/>
  <c r="H603" i="19"/>
  <c r="H604" i="19"/>
  <c r="H605" i="19"/>
  <c r="H606" i="19"/>
  <c r="H607" i="19"/>
  <c r="H608" i="19"/>
  <c r="H609" i="19"/>
  <c r="H610" i="19"/>
  <c r="H611" i="19"/>
  <c r="H612" i="19"/>
  <c r="H613" i="19"/>
  <c r="H614" i="19"/>
  <c r="H615" i="19"/>
  <c r="H616" i="19"/>
  <c r="H617" i="19"/>
  <c r="H618" i="19"/>
  <c r="H619" i="19"/>
  <c r="H620" i="19"/>
  <c r="H621" i="19"/>
  <c r="H622" i="19"/>
  <c r="H623" i="19"/>
  <c r="H624" i="19"/>
  <c r="H625" i="19"/>
  <c r="H626" i="19"/>
  <c r="H627" i="19"/>
  <c r="H628" i="19"/>
  <c r="H629" i="19"/>
  <c r="H630" i="19"/>
  <c r="H631" i="19"/>
  <c r="H632" i="19"/>
  <c r="H633" i="19"/>
  <c r="H634" i="19"/>
  <c r="H635" i="19"/>
  <c r="H636" i="19"/>
  <c r="H637" i="19"/>
  <c r="H638" i="19"/>
  <c r="H639" i="19"/>
  <c r="H640" i="19"/>
  <c r="H641" i="19"/>
  <c r="H642" i="19"/>
  <c r="H643" i="19"/>
  <c r="H644" i="19"/>
  <c r="H645" i="19"/>
  <c r="H646" i="19"/>
  <c r="H647" i="19"/>
  <c r="H648" i="19"/>
  <c r="H649" i="19"/>
  <c r="H650" i="19"/>
  <c r="H651" i="19"/>
  <c r="H652" i="19"/>
  <c r="H653" i="19"/>
  <c r="H654" i="19"/>
  <c r="H655" i="19"/>
  <c r="H656" i="19"/>
  <c r="H657" i="19"/>
  <c r="H658" i="19"/>
  <c r="H659" i="19"/>
  <c r="H660" i="19"/>
  <c r="H661" i="19"/>
  <c r="H662" i="19"/>
  <c r="H663" i="19"/>
  <c r="H664" i="19"/>
  <c r="H665" i="19"/>
  <c r="H666" i="19"/>
  <c r="H667" i="19"/>
  <c r="H668" i="19"/>
  <c r="H669" i="19"/>
  <c r="H670" i="19"/>
  <c r="H671" i="19"/>
  <c r="H672" i="19"/>
  <c r="H673" i="19"/>
  <c r="H674" i="19"/>
  <c r="H675" i="19"/>
  <c r="H676" i="19"/>
  <c r="H677" i="19"/>
  <c r="H678" i="19"/>
  <c r="H679" i="19"/>
  <c r="H680" i="19"/>
  <c r="H681" i="19"/>
  <c r="H682" i="19"/>
  <c r="H683" i="19"/>
  <c r="H684" i="19"/>
  <c r="H685" i="19"/>
  <c r="H686" i="19"/>
  <c r="H687" i="19"/>
  <c r="H688" i="19"/>
  <c r="H689" i="19"/>
  <c r="H690" i="19"/>
  <c r="H691" i="19"/>
  <c r="H692" i="19"/>
  <c r="H693" i="19"/>
  <c r="H694" i="19"/>
  <c r="H695" i="19"/>
  <c r="H696" i="19"/>
  <c r="H697" i="19"/>
  <c r="H698" i="19"/>
  <c r="H699" i="19"/>
  <c r="H700" i="19"/>
  <c r="H701" i="19"/>
  <c r="H702" i="19"/>
  <c r="H703" i="19"/>
  <c r="H704" i="19"/>
  <c r="H705" i="19"/>
  <c r="H706" i="19"/>
  <c r="H707" i="19"/>
  <c r="H708" i="19"/>
  <c r="H709" i="19"/>
  <c r="H710" i="19"/>
  <c r="H711" i="19"/>
  <c r="H712" i="19"/>
  <c r="H713" i="19"/>
  <c r="H714" i="19"/>
  <c r="H715" i="19"/>
  <c r="H716" i="19"/>
  <c r="H717" i="19"/>
  <c r="H718" i="19"/>
  <c r="H719" i="19"/>
  <c r="H720" i="19"/>
  <c r="H721" i="19"/>
  <c r="H722" i="19"/>
  <c r="H723" i="19"/>
  <c r="H724" i="19"/>
  <c r="H725" i="19"/>
  <c r="H726" i="19"/>
  <c r="H727" i="19"/>
  <c r="H728" i="19"/>
  <c r="H729" i="19"/>
  <c r="H730" i="19"/>
  <c r="H731" i="19"/>
  <c r="H732" i="19"/>
  <c r="H733" i="19"/>
  <c r="H734" i="19"/>
  <c r="H735" i="19"/>
  <c r="H736" i="19"/>
  <c r="H737" i="19"/>
  <c r="H738" i="19"/>
  <c r="H739" i="19"/>
  <c r="H740" i="19"/>
  <c r="H741" i="19"/>
  <c r="H742" i="19"/>
  <c r="H743" i="19"/>
  <c r="H744" i="19"/>
  <c r="H745" i="19"/>
  <c r="H746" i="19"/>
  <c r="H747" i="19"/>
  <c r="H748" i="19"/>
  <c r="H749" i="19"/>
  <c r="H750" i="19"/>
  <c r="H751" i="19"/>
  <c r="H752" i="19"/>
  <c r="H753" i="19"/>
  <c r="H754" i="19"/>
  <c r="H755" i="19"/>
  <c r="H756" i="19"/>
  <c r="H757" i="19"/>
  <c r="H758" i="19"/>
  <c r="H759" i="19"/>
  <c r="H760" i="19"/>
  <c r="H761" i="19"/>
  <c r="H762" i="19"/>
  <c r="H763" i="19"/>
  <c r="H764" i="19"/>
  <c r="H765" i="19"/>
  <c r="H766" i="19"/>
  <c r="H767" i="19"/>
  <c r="H768" i="19"/>
  <c r="H769" i="19"/>
  <c r="H770" i="19"/>
  <c r="H771" i="19"/>
  <c r="H772" i="19"/>
  <c r="H773" i="19"/>
  <c r="H774" i="19"/>
  <c r="H775" i="19"/>
  <c r="H776" i="19"/>
  <c r="H777" i="19"/>
  <c r="H778" i="19"/>
  <c r="H779" i="19"/>
  <c r="H780" i="19"/>
  <c r="H781" i="19"/>
  <c r="H782" i="19"/>
  <c r="H783" i="19"/>
  <c r="H784" i="19"/>
  <c r="H785" i="19"/>
  <c r="H786" i="19"/>
  <c r="H787" i="19"/>
  <c r="H788" i="19"/>
  <c r="H789" i="19"/>
  <c r="H790" i="19"/>
  <c r="H791" i="19"/>
  <c r="H792" i="19"/>
  <c r="H793" i="19"/>
  <c r="H794" i="19"/>
  <c r="H795" i="19"/>
  <c r="H796" i="19"/>
  <c r="H797" i="19"/>
  <c r="H798" i="19"/>
  <c r="H799" i="19"/>
  <c r="H800" i="19"/>
  <c r="H801" i="19"/>
  <c r="H802" i="19"/>
  <c r="H803" i="19"/>
  <c r="H804" i="19"/>
  <c r="H805" i="19"/>
  <c r="H806" i="19"/>
  <c r="H807" i="19"/>
  <c r="H808" i="19"/>
  <c r="H809" i="19"/>
  <c r="H810" i="19"/>
  <c r="H811" i="19"/>
  <c r="H812" i="19"/>
  <c r="H813" i="19"/>
  <c r="H814" i="19"/>
  <c r="H815" i="19"/>
  <c r="H816" i="19"/>
  <c r="H817" i="19"/>
  <c r="H818" i="19"/>
  <c r="H819" i="19"/>
  <c r="H820" i="19"/>
  <c r="H821" i="19"/>
  <c r="H822" i="19"/>
  <c r="H823" i="19"/>
  <c r="H824" i="19"/>
  <c r="H825" i="19"/>
  <c r="H826" i="19"/>
  <c r="H827" i="19"/>
  <c r="H828" i="19"/>
  <c r="H829" i="19"/>
  <c r="H830" i="19"/>
  <c r="H831" i="19"/>
  <c r="H832" i="19"/>
  <c r="H833" i="19"/>
  <c r="H834" i="19"/>
  <c r="H835" i="19"/>
  <c r="H836" i="19"/>
  <c r="H837" i="19"/>
  <c r="H838" i="19"/>
  <c r="H839" i="19"/>
  <c r="H840" i="19"/>
  <c r="H841" i="19"/>
  <c r="H842" i="19"/>
  <c r="H843" i="19"/>
  <c r="H844" i="19"/>
  <c r="H845" i="19"/>
  <c r="H846" i="19"/>
  <c r="H847" i="19"/>
  <c r="H848" i="19"/>
  <c r="H849" i="19"/>
  <c r="H850" i="19"/>
  <c r="H851" i="19"/>
  <c r="H852" i="19"/>
  <c r="H853" i="19"/>
  <c r="H854" i="19"/>
  <c r="H855" i="19"/>
  <c r="H856" i="19"/>
  <c r="H857" i="19"/>
  <c r="H858" i="19"/>
  <c r="H859" i="19"/>
  <c r="H860" i="19"/>
  <c r="H861" i="19"/>
  <c r="H862" i="19"/>
  <c r="H863" i="19"/>
  <c r="H864" i="19"/>
  <c r="H865" i="19"/>
  <c r="H866" i="19"/>
  <c r="H867" i="19"/>
  <c r="H868" i="19"/>
  <c r="H869" i="19"/>
  <c r="H870" i="19"/>
  <c r="H871" i="19"/>
  <c r="H872" i="19"/>
  <c r="H873" i="19"/>
  <c r="H874" i="19"/>
  <c r="H875" i="19"/>
  <c r="H876" i="19"/>
  <c r="H877" i="19"/>
  <c r="H878" i="19"/>
  <c r="H879" i="19"/>
  <c r="H880" i="19"/>
  <c r="H881" i="19"/>
  <c r="H882" i="19"/>
  <c r="H883" i="19"/>
  <c r="H884" i="19"/>
  <c r="H885" i="19"/>
  <c r="H886" i="19"/>
  <c r="H887" i="19"/>
  <c r="H888" i="19"/>
  <c r="H889" i="19"/>
  <c r="H890" i="19"/>
  <c r="H891" i="19"/>
  <c r="H892" i="19"/>
  <c r="H893" i="19"/>
  <c r="H894" i="19"/>
  <c r="H895" i="19"/>
  <c r="H896" i="19"/>
  <c r="H897" i="19"/>
  <c r="H898" i="19"/>
  <c r="H899" i="19"/>
  <c r="H900" i="19"/>
  <c r="H901" i="19"/>
  <c r="H902" i="19"/>
  <c r="H903" i="19"/>
  <c r="H904" i="19"/>
  <c r="H905" i="19"/>
  <c r="H906" i="19"/>
  <c r="H907" i="19"/>
  <c r="H908" i="19"/>
  <c r="H909" i="19"/>
  <c r="H910" i="19"/>
  <c r="H911" i="19"/>
  <c r="H912" i="19"/>
  <c r="H913" i="19"/>
  <c r="H914" i="19"/>
  <c r="H915" i="19"/>
  <c r="H916" i="19"/>
  <c r="H917" i="19"/>
  <c r="H918" i="19"/>
  <c r="H919" i="19"/>
  <c r="H920" i="19"/>
  <c r="H921" i="19"/>
  <c r="H922" i="19"/>
  <c r="H923" i="19"/>
  <c r="H924" i="19"/>
  <c r="H925" i="19"/>
  <c r="H926" i="19"/>
  <c r="H927" i="19"/>
  <c r="H928" i="19"/>
  <c r="H929" i="19"/>
  <c r="H930" i="19"/>
  <c r="H931" i="19"/>
  <c r="H932" i="19"/>
  <c r="H933" i="19"/>
  <c r="H934" i="19"/>
  <c r="H935" i="19"/>
  <c r="H936" i="19"/>
  <c r="H937" i="19"/>
  <c r="H938" i="19"/>
  <c r="H939" i="19"/>
  <c r="H940" i="19"/>
  <c r="H941" i="19"/>
  <c r="H942" i="19"/>
  <c r="H943" i="19"/>
  <c r="H944" i="19"/>
  <c r="H945" i="19"/>
  <c r="H946" i="19"/>
  <c r="H947" i="19"/>
  <c r="H948" i="19"/>
  <c r="H949" i="19"/>
  <c r="H950" i="19"/>
  <c r="H951" i="19"/>
  <c r="H952" i="19"/>
  <c r="H953" i="19"/>
  <c r="H954" i="19"/>
  <c r="H955" i="19"/>
  <c r="H956" i="19"/>
  <c r="H957" i="19"/>
  <c r="H958" i="19"/>
  <c r="H959" i="19"/>
  <c r="H960" i="19"/>
  <c r="H961" i="19"/>
  <c r="H962" i="19"/>
  <c r="H963" i="19"/>
  <c r="H964" i="19"/>
  <c r="H965" i="19"/>
  <c r="H966" i="19"/>
  <c r="H967" i="19"/>
  <c r="H968" i="19"/>
  <c r="H969" i="19"/>
  <c r="H970" i="19"/>
  <c r="H971" i="19"/>
  <c r="H972" i="19"/>
  <c r="H973" i="19"/>
  <c r="H974" i="19"/>
  <c r="H975" i="19"/>
  <c r="H976" i="19"/>
  <c r="H977" i="19"/>
  <c r="H978" i="19"/>
  <c r="H979" i="19"/>
  <c r="H980" i="19"/>
  <c r="H981" i="19"/>
  <c r="H982" i="19"/>
  <c r="H983" i="19"/>
  <c r="H984" i="19"/>
  <c r="H985" i="19"/>
  <c r="H986" i="19"/>
  <c r="H987" i="19"/>
  <c r="H988" i="19"/>
  <c r="H989" i="19"/>
  <c r="H990" i="19"/>
  <c r="H991" i="19"/>
  <c r="H992" i="19"/>
  <c r="H993" i="19"/>
  <c r="H994" i="19"/>
  <c r="H995" i="19"/>
  <c r="H996" i="19"/>
  <c r="H997" i="19"/>
  <c r="H998" i="19"/>
  <c r="H999" i="19"/>
  <c r="H1000" i="19"/>
  <c r="H1001" i="19"/>
  <c r="H1002" i="19"/>
  <c r="H1003" i="19"/>
  <c r="H1004" i="19"/>
  <c r="H1005" i="19"/>
  <c r="H1006" i="19"/>
  <c r="H1007" i="19"/>
  <c r="H1008" i="19"/>
  <c r="H1009" i="19"/>
  <c r="H1010" i="19"/>
  <c r="H1011" i="19"/>
  <c r="H1012" i="19"/>
  <c r="H1013" i="19"/>
  <c r="H1014" i="19"/>
  <c r="H1015" i="19"/>
  <c r="H1016" i="19"/>
  <c r="H1017" i="19"/>
  <c r="H1018" i="19"/>
  <c r="H1019" i="19"/>
  <c r="H1020" i="19"/>
  <c r="H1021" i="19"/>
  <c r="H1022" i="19"/>
  <c r="H1023" i="19"/>
  <c r="H1024" i="19"/>
  <c r="H1025" i="19"/>
  <c r="H1026" i="19"/>
  <c r="H1027" i="19"/>
  <c r="H1028" i="19"/>
  <c r="H1029" i="19"/>
  <c r="H1030" i="19"/>
  <c r="H1031" i="19"/>
  <c r="H1032" i="19"/>
  <c r="H1033" i="19"/>
  <c r="H1034" i="19"/>
  <c r="H1035" i="19"/>
  <c r="H1036" i="19"/>
  <c r="H1037" i="19"/>
  <c r="H1038" i="19"/>
  <c r="H1039" i="19"/>
  <c r="H1040" i="19"/>
  <c r="H1041" i="19"/>
  <c r="H1042" i="19"/>
  <c r="H1043" i="19"/>
  <c r="H1044" i="19"/>
  <c r="H1045" i="19"/>
  <c r="H1046" i="19"/>
  <c r="H1047" i="19"/>
  <c r="H1048" i="19"/>
  <c r="H1049" i="19"/>
  <c r="H1050" i="19"/>
  <c r="H1051" i="19"/>
  <c r="H1052" i="19"/>
  <c r="H1053" i="19"/>
  <c r="H1054" i="19"/>
  <c r="H1055" i="19"/>
  <c r="H1056" i="19"/>
  <c r="H1057" i="19"/>
  <c r="H1058" i="19"/>
  <c r="H1059" i="19"/>
  <c r="H1060" i="19"/>
  <c r="H1061" i="19"/>
  <c r="H1062" i="19"/>
  <c r="H1063" i="19"/>
  <c r="H1064" i="19"/>
  <c r="H1065" i="19"/>
  <c r="H1066" i="19"/>
  <c r="H1067" i="19"/>
  <c r="H1068" i="19"/>
  <c r="H1069" i="19"/>
  <c r="H1070" i="19"/>
  <c r="H1071" i="19"/>
  <c r="H1072" i="19"/>
  <c r="H1073" i="19"/>
  <c r="H1074" i="19"/>
  <c r="H1075" i="19"/>
  <c r="H1076" i="19"/>
  <c r="H1077" i="19"/>
  <c r="H1078" i="19"/>
  <c r="H1079" i="19"/>
  <c r="H1080" i="19"/>
  <c r="H1081" i="19"/>
  <c r="H1082" i="19"/>
  <c r="H1083" i="19"/>
  <c r="H1084" i="19"/>
  <c r="H1085" i="19"/>
  <c r="H1086" i="19"/>
  <c r="H1087" i="19"/>
  <c r="H1088" i="19"/>
  <c r="H1089" i="19"/>
  <c r="H1090" i="19"/>
  <c r="H1091" i="19"/>
  <c r="H1092" i="19"/>
  <c r="H1093" i="19"/>
  <c r="H1094" i="19"/>
  <c r="H1095" i="19"/>
  <c r="H1096" i="19"/>
  <c r="H1097" i="19"/>
  <c r="H1098" i="19"/>
  <c r="H1099" i="19"/>
  <c r="H1100" i="19"/>
  <c r="H1101" i="19"/>
  <c r="H1102" i="19"/>
  <c r="H1103" i="19"/>
  <c r="H1104" i="19"/>
  <c r="H1105" i="19"/>
  <c r="H1106" i="19"/>
  <c r="H1107" i="19"/>
  <c r="H1108" i="19"/>
  <c r="H1109" i="19"/>
  <c r="H1110" i="19"/>
  <c r="H1111" i="19"/>
  <c r="H1112" i="19"/>
  <c r="H1113" i="19"/>
  <c r="H1114" i="19"/>
  <c r="H1115" i="19"/>
  <c r="H1116" i="19"/>
  <c r="H1117" i="19"/>
  <c r="H1118" i="19"/>
  <c r="H1119" i="19"/>
  <c r="H1120" i="19"/>
  <c r="H1121" i="19"/>
  <c r="H1122" i="19"/>
  <c r="H1123" i="19"/>
  <c r="H1124" i="19"/>
  <c r="H1125" i="19"/>
  <c r="H1126" i="19"/>
  <c r="H1127" i="19"/>
  <c r="H1128" i="19"/>
  <c r="H1129" i="19"/>
  <c r="H1130" i="19"/>
  <c r="H1131" i="19"/>
  <c r="H1132" i="19"/>
  <c r="H1133" i="19"/>
  <c r="H1134" i="19"/>
  <c r="H1135" i="19"/>
  <c r="H1136" i="19"/>
  <c r="H1137" i="19"/>
  <c r="H1138" i="19"/>
  <c r="H1139" i="19"/>
  <c r="H1140" i="19"/>
  <c r="H1141" i="19"/>
  <c r="H1142" i="19"/>
  <c r="H1143" i="19"/>
  <c r="H1144" i="19"/>
  <c r="H1145" i="19"/>
  <c r="H1146" i="19"/>
  <c r="H1147" i="19"/>
  <c r="H1148" i="19"/>
  <c r="H1149" i="19"/>
  <c r="H1150" i="19"/>
  <c r="H1151" i="19"/>
  <c r="H1152" i="19"/>
  <c r="H1153" i="19"/>
  <c r="H1154" i="19"/>
  <c r="H1155" i="19"/>
  <c r="H1156" i="19"/>
  <c r="H1157" i="19"/>
  <c r="H1158" i="19"/>
  <c r="H1159" i="19"/>
  <c r="H1160" i="19"/>
  <c r="H1161" i="19"/>
  <c r="H1162" i="19"/>
  <c r="H1163" i="19"/>
  <c r="H1164" i="19"/>
  <c r="H1165" i="19"/>
  <c r="H1166" i="19"/>
  <c r="H1167" i="19"/>
  <c r="H1168" i="19"/>
  <c r="H1169" i="19"/>
  <c r="H1170" i="19"/>
  <c r="H1171" i="19"/>
  <c r="H1172" i="19"/>
  <c r="H1173" i="19"/>
  <c r="H1174" i="19"/>
  <c r="H1175" i="19"/>
  <c r="H1176" i="19"/>
  <c r="H1177" i="19"/>
  <c r="H1178" i="19"/>
  <c r="H1179" i="19"/>
  <c r="H1180" i="19"/>
  <c r="H1181" i="19"/>
  <c r="H1182" i="19"/>
  <c r="H1183" i="19"/>
  <c r="H1184" i="19"/>
  <c r="H1185" i="19"/>
  <c r="H1186" i="19"/>
  <c r="H1187" i="19"/>
  <c r="H1188" i="19"/>
  <c r="H1189" i="19"/>
  <c r="H1190" i="19"/>
  <c r="H1191" i="19"/>
  <c r="H1192" i="19"/>
  <c r="H1193" i="19"/>
  <c r="H1194" i="19"/>
  <c r="H1195" i="19"/>
  <c r="H1196" i="19"/>
  <c r="H1197" i="19"/>
  <c r="H1198" i="19"/>
  <c r="H1199" i="19"/>
  <c r="H1200" i="19"/>
  <c r="H1201" i="19"/>
  <c r="H1202" i="19"/>
  <c r="H1203" i="19"/>
  <c r="H1204" i="19"/>
  <c r="H1205" i="19"/>
  <c r="H1206" i="19"/>
  <c r="H1207" i="19"/>
  <c r="H1208" i="19"/>
  <c r="H1209" i="19"/>
  <c r="H1210" i="19"/>
  <c r="H1211" i="19"/>
  <c r="H1212" i="19"/>
  <c r="H1213" i="19"/>
  <c r="H1214" i="19"/>
  <c r="H1215" i="19"/>
  <c r="H1216" i="19"/>
  <c r="H1217" i="19"/>
  <c r="H1218" i="19"/>
  <c r="H1219" i="19"/>
  <c r="H1220" i="19"/>
  <c r="H1221" i="19"/>
  <c r="H1222" i="19"/>
  <c r="H1223" i="19"/>
  <c r="H1224" i="19"/>
  <c r="H1225" i="19"/>
  <c r="H1226" i="19"/>
  <c r="H1227" i="19"/>
  <c r="H1228" i="19"/>
  <c r="H1229" i="19"/>
  <c r="H1230" i="19"/>
  <c r="H1231" i="19"/>
  <c r="H1232" i="19"/>
  <c r="H1233" i="19"/>
  <c r="H1234" i="19"/>
  <c r="H1235" i="19"/>
  <c r="H1236" i="19"/>
  <c r="H1237" i="19"/>
  <c r="H1238" i="19"/>
  <c r="H1239" i="19"/>
  <c r="H1240" i="19"/>
  <c r="H1241" i="19"/>
  <c r="H1242" i="19"/>
  <c r="H1243" i="19"/>
  <c r="H1244" i="19"/>
  <c r="H1245" i="19"/>
  <c r="H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326" i="19"/>
  <c r="D327" i="19"/>
  <c r="D328" i="19"/>
  <c r="D329" i="19"/>
  <c r="D330" i="19"/>
  <c r="D331" i="19"/>
  <c r="D332" i="19"/>
  <c r="D333" i="19"/>
  <c r="D334" i="19"/>
  <c r="D335" i="19"/>
  <c r="D336" i="19"/>
  <c r="D337" i="19"/>
  <c r="D338" i="19"/>
  <c r="D339" i="19"/>
  <c r="D340" i="19"/>
  <c r="D341" i="19"/>
  <c r="D342" i="19"/>
  <c r="D343" i="19"/>
  <c r="D344" i="19"/>
  <c r="D345" i="19"/>
  <c r="D346" i="19"/>
  <c r="D347" i="19"/>
  <c r="D348" i="19"/>
  <c r="D349" i="19"/>
  <c r="D350" i="19"/>
  <c r="D351" i="19"/>
  <c r="D352" i="19"/>
  <c r="D353" i="19"/>
  <c r="D354" i="19"/>
  <c r="D355" i="19"/>
  <c r="D356" i="19"/>
  <c r="D357" i="19"/>
  <c r="D358" i="19"/>
  <c r="D359" i="19"/>
  <c r="D360" i="19"/>
  <c r="D361" i="19"/>
  <c r="D362" i="19"/>
  <c r="D363" i="19"/>
  <c r="D364" i="19"/>
  <c r="D365" i="19"/>
  <c r="D366" i="19"/>
  <c r="D367" i="19"/>
  <c r="D368" i="19"/>
  <c r="D369" i="19"/>
  <c r="D370" i="19"/>
  <c r="D371" i="19"/>
  <c r="D372" i="19"/>
  <c r="D373" i="19"/>
  <c r="D374" i="19"/>
  <c r="D375" i="19"/>
  <c r="D376" i="19"/>
  <c r="D377" i="19"/>
  <c r="D378" i="19"/>
  <c r="D379" i="19"/>
  <c r="D380" i="19"/>
  <c r="D381" i="19"/>
  <c r="D382" i="19"/>
  <c r="D383" i="19"/>
  <c r="D384" i="19"/>
  <c r="D385" i="19"/>
  <c r="D386" i="19"/>
  <c r="D387" i="19"/>
  <c r="D388" i="19"/>
  <c r="D389" i="19"/>
  <c r="D390" i="19"/>
  <c r="D391" i="19"/>
  <c r="D392" i="19"/>
  <c r="D393" i="19"/>
  <c r="D394" i="19"/>
  <c r="D395" i="19"/>
  <c r="D396" i="19"/>
  <c r="D397" i="19"/>
  <c r="D398" i="19"/>
  <c r="D399" i="19"/>
  <c r="D400" i="19"/>
  <c r="D401" i="19"/>
  <c r="D402" i="19"/>
  <c r="D403" i="19"/>
  <c r="D404" i="19"/>
  <c r="D405" i="19"/>
  <c r="D406" i="19"/>
  <c r="D407" i="19"/>
  <c r="D408" i="19"/>
  <c r="D409" i="19"/>
  <c r="D410" i="19"/>
  <c r="D411" i="19"/>
  <c r="D412" i="19"/>
  <c r="D413" i="19"/>
  <c r="D414" i="19"/>
  <c r="D415" i="19"/>
  <c r="D416" i="19"/>
  <c r="D417" i="19"/>
  <c r="D418" i="19"/>
  <c r="D419" i="19"/>
  <c r="D420" i="19"/>
  <c r="D421" i="19"/>
  <c r="D422" i="19"/>
  <c r="D423" i="19"/>
  <c r="D424" i="19"/>
  <c r="D425" i="19"/>
  <c r="D426" i="19"/>
  <c r="D427" i="19"/>
  <c r="D428" i="19"/>
  <c r="D429" i="19"/>
  <c r="D430" i="19"/>
  <c r="D431" i="19"/>
  <c r="D432" i="19"/>
  <c r="D433" i="19"/>
  <c r="D434" i="19"/>
  <c r="D435" i="19"/>
  <c r="D436" i="19"/>
  <c r="D437" i="19"/>
  <c r="D438" i="19"/>
  <c r="D439" i="19"/>
  <c r="D440" i="19"/>
  <c r="D441" i="19"/>
  <c r="D442" i="19"/>
  <c r="D443" i="19"/>
  <c r="D444" i="19"/>
  <c r="D445" i="19"/>
  <c r="D446" i="19"/>
  <c r="D447" i="19"/>
  <c r="D448" i="19"/>
  <c r="D449" i="19"/>
  <c r="D450" i="19"/>
  <c r="D451" i="19"/>
  <c r="D452" i="19"/>
  <c r="D453" i="19"/>
  <c r="D454" i="19"/>
  <c r="D455" i="19"/>
  <c r="D456" i="19"/>
  <c r="D457" i="19"/>
  <c r="D458" i="19"/>
  <c r="D459" i="19"/>
  <c r="D460" i="19"/>
  <c r="D461" i="19"/>
  <c r="D462" i="19"/>
  <c r="D463" i="19"/>
  <c r="D464" i="19"/>
  <c r="D465" i="19"/>
  <c r="D466" i="19"/>
  <c r="D467" i="19"/>
  <c r="D468" i="19"/>
  <c r="D469" i="19"/>
  <c r="D470" i="19"/>
  <c r="D471" i="19"/>
  <c r="D472" i="19"/>
  <c r="D473" i="19"/>
  <c r="D474" i="19"/>
  <c r="D475" i="19"/>
  <c r="D476" i="19"/>
  <c r="D477" i="19"/>
  <c r="D478" i="19"/>
  <c r="D479" i="19"/>
  <c r="D480" i="19"/>
  <c r="D481" i="19"/>
  <c r="D482" i="19"/>
  <c r="D483" i="19"/>
  <c r="D484" i="19"/>
  <c r="D485" i="19"/>
  <c r="D486" i="19"/>
  <c r="D487" i="19"/>
  <c r="D488" i="19"/>
  <c r="D489" i="19"/>
  <c r="D490" i="19"/>
  <c r="D491" i="19"/>
  <c r="D492" i="19"/>
  <c r="D493" i="19"/>
  <c r="D494" i="19"/>
  <c r="D495" i="19"/>
  <c r="D496" i="19"/>
  <c r="D497" i="19"/>
  <c r="D498" i="19"/>
  <c r="D499" i="19"/>
  <c r="D500" i="19"/>
  <c r="D501" i="19"/>
  <c r="D502" i="19"/>
  <c r="D503" i="19"/>
  <c r="D504" i="19"/>
  <c r="D505" i="19"/>
  <c r="D506" i="19"/>
  <c r="D507" i="19"/>
  <c r="D508" i="19"/>
  <c r="D509" i="19"/>
  <c r="D510" i="19"/>
  <c r="D511" i="19"/>
  <c r="D512" i="19"/>
  <c r="D513" i="19"/>
  <c r="D514" i="19"/>
  <c r="D515" i="19"/>
  <c r="D516" i="19"/>
  <c r="D517" i="19"/>
  <c r="D518" i="19"/>
  <c r="D519" i="19"/>
  <c r="D520" i="19"/>
  <c r="D521" i="19"/>
  <c r="D522" i="19"/>
  <c r="D523" i="19"/>
  <c r="D524" i="19"/>
  <c r="D525" i="19"/>
  <c r="D526" i="19"/>
  <c r="D527" i="19"/>
  <c r="D528" i="19"/>
  <c r="D529" i="19"/>
  <c r="D530" i="19"/>
  <c r="D531" i="19"/>
  <c r="D532" i="19"/>
  <c r="D533" i="19"/>
  <c r="D534" i="19"/>
  <c r="D535" i="19"/>
  <c r="D536" i="19"/>
  <c r="D537" i="19"/>
  <c r="D538" i="19"/>
  <c r="D539" i="19"/>
  <c r="D540" i="19"/>
  <c r="D541" i="19"/>
  <c r="D542" i="19"/>
  <c r="D543" i="19"/>
  <c r="D544" i="19"/>
  <c r="D545" i="19"/>
  <c r="D546" i="19"/>
  <c r="D547" i="19"/>
  <c r="D548" i="19"/>
  <c r="D549" i="19"/>
  <c r="D550" i="19"/>
  <c r="D551" i="19"/>
  <c r="D552" i="19"/>
  <c r="D553" i="19"/>
  <c r="D554" i="19"/>
  <c r="D555" i="19"/>
  <c r="D556" i="19"/>
  <c r="D557" i="19"/>
  <c r="D558" i="19"/>
  <c r="D559" i="19"/>
  <c r="D560" i="19"/>
  <c r="D561" i="19"/>
  <c r="D562" i="19"/>
  <c r="D563" i="19"/>
  <c r="D564" i="19"/>
  <c r="D565" i="19"/>
  <c r="D566" i="19"/>
  <c r="D567" i="19"/>
  <c r="D568" i="19"/>
  <c r="D569" i="19"/>
  <c r="D570" i="19"/>
  <c r="D571" i="19"/>
  <c r="D572" i="19"/>
  <c r="D573" i="19"/>
  <c r="D574" i="19"/>
  <c r="D575" i="19"/>
  <c r="D576" i="19"/>
  <c r="D577" i="19"/>
  <c r="D578" i="19"/>
  <c r="D579" i="19"/>
  <c r="D580" i="19"/>
  <c r="D581" i="19"/>
  <c r="D582" i="19"/>
  <c r="D583" i="19"/>
  <c r="D584" i="19"/>
  <c r="D585" i="19"/>
  <c r="D586" i="19"/>
  <c r="D587" i="19"/>
  <c r="D588" i="19"/>
  <c r="D589" i="19"/>
  <c r="D590" i="19"/>
  <c r="D591" i="19"/>
  <c r="D592" i="19"/>
  <c r="D593" i="19"/>
  <c r="D594" i="19"/>
  <c r="D595" i="19"/>
  <c r="D596" i="19"/>
  <c r="D597" i="19"/>
  <c r="D598" i="19"/>
  <c r="D599" i="19"/>
  <c r="D600" i="19"/>
  <c r="D601" i="19"/>
  <c r="D602" i="19"/>
  <c r="D603" i="19"/>
  <c r="D604" i="19"/>
  <c r="D605" i="19"/>
  <c r="D606" i="19"/>
  <c r="D607" i="19"/>
  <c r="D608" i="19"/>
  <c r="D609" i="19"/>
  <c r="D610" i="19"/>
  <c r="D611" i="19"/>
  <c r="D612" i="19"/>
  <c r="D613" i="19"/>
  <c r="D614" i="19"/>
  <c r="D615" i="19"/>
  <c r="D616" i="19"/>
  <c r="D617" i="19"/>
  <c r="D618" i="19"/>
  <c r="D619" i="19"/>
  <c r="D620" i="19"/>
  <c r="D621" i="19"/>
  <c r="D622" i="19"/>
  <c r="D623" i="19"/>
  <c r="D624" i="19"/>
  <c r="D625" i="19"/>
  <c r="D626" i="19"/>
  <c r="D627" i="19"/>
  <c r="D628" i="19"/>
  <c r="D629" i="19"/>
  <c r="D630" i="19"/>
  <c r="D631" i="19"/>
  <c r="D632" i="19"/>
  <c r="D633" i="19"/>
  <c r="D634" i="19"/>
  <c r="D635" i="19"/>
  <c r="D636" i="19"/>
  <c r="D637" i="19"/>
  <c r="D638" i="19"/>
  <c r="D639" i="19"/>
  <c r="D640" i="19"/>
  <c r="D641" i="19"/>
  <c r="D642" i="19"/>
  <c r="D643" i="19"/>
  <c r="D644" i="19"/>
  <c r="D645" i="19"/>
  <c r="D646" i="19"/>
  <c r="D647" i="19"/>
  <c r="D648" i="19"/>
  <c r="D649" i="19"/>
  <c r="D650" i="19"/>
  <c r="D651" i="19"/>
  <c r="D652" i="19"/>
  <c r="D653" i="19"/>
  <c r="D654" i="19"/>
  <c r="D655" i="19"/>
  <c r="D656" i="19"/>
  <c r="D657" i="19"/>
  <c r="D658" i="19"/>
  <c r="D659" i="19"/>
  <c r="D660" i="19"/>
  <c r="D661" i="19"/>
  <c r="D662" i="19"/>
  <c r="D663" i="19"/>
  <c r="D664" i="19"/>
  <c r="D665" i="19"/>
  <c r="D666" i="19"/>
  <c r="D667" i="19"/>
  <c r="D668" i="19"/>
  <c r="D669" i="19"/>
  <c r="D670" i="19"/>
  <c r="D671" i="19"/>
  <c r="D672" i="19"/>
  <c r="D673" i="19"/>
  <c r="D674" i="19"/>
  <c r="D675" i="19"/>
  <c r="D676" i="19"/>
  <c r="D677" i="19"/>
  <c r="D678" i="19"/>
  <c r="D679" i="19"/>
  <c r="D680" i="19"/>
  <c r="D681" i="19"/>
  <c r="D682" i="19"/>
  <c r="D683" i="19"/>
  <c r="D684" i="19"/>
  <c r="D685" i="19"/>
  <c r="D686" i="19"/>
  <c r="D687" i="19"/>
  <c r="D688" i="19"/>
  <c r="D689" i="19"/>
  <c r="D690" i="19"/>
  <c r="D691" i="19"/>
  <c r="D692" i="19"/>
  <c r="D693" i="19"/>
  <c r="D694" i="19"/>
  <c r="D695" i="19"/>
  <c r="D696" i="19"/>
  <c r="D697" i="19"/>
  <c r="D698" i="19"/>
  <c r="D699" i="19"/>
  <c r="D700" i="19"/>
  <c r="D701" i="19"/>
  <c r="D702" i="19"/>
  <c r="D703" i="19"/>
  <c r="D704" i="19"/>
  <c r="D705" i="19"/>
  <c r="D706" i="19"/>
  <c r="D707" i="19"/>
  <c r="D708" i="19"/>
  <c r="D709" i="19"/>
  <c r="D710" i="19"/>
  <c r="D711" i="19"/>
  <c r="D712" i="19"/>
  <c r="D713" i="19"/>
  <c r="D714" i="19"/>
  <c r="D715" i="19"/>
  <c r="D716" i="19"/>
  <c r="D717" i="19"/>
  <c r="D718" i="19"/>
  <c r="D719" i="19"/>
  <c r="D720" i="19"/>
  <c r="D721" i="19"/>
  <c r="D722" i="19"/>
  <c r="D723" i="19"/>
  <c r="D724" i="19"/>
  <c r="D725" i="19"/>
  <c r="D726" i="19"/>
  <c r="D727" i="19"/>
  <c r="D728" i="19"/>
  <c r="D729" i="19"/>
  <c r="D730" i="19"/>
  <c r="D731" i="19"/>
  <c r="D732" i="19"/>
  <c r="D733" i="19"/>
  <c r="D734" i="19"/>
  <c r="D735" i="19"/>
  <c r="D736" i="19"/>
  <c r="D737" i="19"/>
  <c r="D738" i="19"/>
  <c r="D739" i="19"/>
  <c r="D740" i="19"/>
  <c r="D741" i="19"/>
  <c r="D742" i="19"/>
  <c r="D743" i="19"/>
  <c r="D744" i="19"/>
  <c r="D745" i="19"/>
  <c r="D746" i="19"/>
  <c r="D747" i="19"/>
  <c r="D748" i="19"/>
  <c r="D749" i="19"/>
  <c r="D750" i="19"/>
  <c r="D751" i="19"/>
  <c r="D752" i="19"/>
  <c r="D753" i="19"/>
  <c r="D754" i="19"/>
  <c r="D755" i="19"/>
  <c r="D756" i="19"/>
  <c r="D757" i="19"/>
  <c r="D758" i="19"/>
  <c r="D759" i="19"/>
  <c r="D760" i="19"/>
  <c r="D761" i="19"/>
  <c r="D762" i="19"/>
  <c r="D763" i="19"/>
  <c r="D764" i="19"/>
  <c r="D765" i="19"/>
  <c r="D766" i="19"/>
  <c r="D767" i="19"/>
  <c r="D768" i="19"/>
  <c r="D769" i="19"/>
  <c r="D770" i="19"/>
  <c r="D771" i="19"/>
  <c r="D772" i="19"/>
  <c r="D773" i="19"/>
  <c r="D774" i="19"/>
  <c r="D775" i="19"/>
  <c r="D776" i="19"/>
  <c r="D777" i="19"/>
  <c r="D778" i="19"/>
  <c r="D779" i="19"/>
  <c r="D780" i="19"/>
  <c r="D781" i="19"/>
  <c r="D782" i="19"/>
  <c r="D783" i="19"/>
  <c r="D784" i="19"/>
  <c r="D785" i="19"/>
  <c r="D786" i="19"/>
  <c r="D787" i="19"/>
  <c r="D788" i="19"/>
  <c r="D789" i="19"/>
  <c r="D790" i="19"/>
  <c r="D791" i="19"/>
  <c r="D792" i="19"/>
  <c r="D793" i="19"/>
  <c r="D794" i="19"/>
  <c r="D795" i="19"/>
  <c r="D796" i="19"/>
  <c r="D797" i="19"/>
  <c r="D798" i="19"/>
  <c r="D799" i="19"/>
  <c r="D800" i="19"/>
  <c r="D801" i="19"/>
  <c r="D802" i="19"/>
  <c r="D803" i="19"/>
  <c r="D804" i="19"/>
  <c r="D805" i="19"/>
  <c r="D806" i="19"/>
  <c r="D807" i="19"/>
  <c r="D808" i="19"/>
  <c r="D809" i="19"/>
  <c r="D810" i="19"/>
  <c r="D811" i="19"/>
  <c r="D812" i="19"/>
  <c r="D813" i="19"/>
  <c r="D814" i="19"/>
  <c r="D815" i="19"/>
  <c r="D816" i="19"/>
  <c r="D817" i="19"/>
  <c r="D818" i="19"/>
  <c r="D819" i="19"/>
  <c r="D820" i="19"/>
  <c r="D821" i="19"/>
  <c r="D822" i="19"/>
  <c r="D823" i="19"/>
  <c r="D824" i="19"/>
  <c r="D825" i="19"/>
  <c r="D826" i="19"/>
  <c r="D827" i="19"/>
  <c r="D828" i="19"/>
  <c r="D829" i="19"/>
  <c r="D830" i="19"/>
  <c r="D831" i="19"/>
  <c r="D832" i="19"/>
  <c r="D833" i="19"/>
  <c r="D834" i="19"/>
  <c r="D835" i="19"/>
  <c r="D836" i="19"/>
  <c r="D837" i="19"/>
  <c r="D838" i="19"/>
  <c r="D839" i="19"/>
  <c r="D840" i="19"/>
  <c r="D841" i="19"/>
  <c r="D842" i="19"/>
  <c r="D843" i="19"/>
  <c r="D844" i="19"/>
  <c r="D845" i="19"/>
  <c r="D846" i="19"/>
  <c r="D847" i="19"/>
  <c r="D848" i="19"/>
  <c r="D849" i="19"/>
  <c r="D850" i="19"/>
  <c r="D851" i="19"/>
  <c r="D852" i="19"/>
  <c r="D853" i="19"/>
  <c r="D854" i="19"/>
  <c r="D855" i="19"/>
  <c r="D856" i="19"/>
  <c r="D857" i="19"/>
  <c r="D858" i="19"/>
  <c r="D859" i="19"/>
  <c r="D860" i="19"/>
  <c r="D861" i="19"/>
  <c r="D862" i="19"/>
  <c r="D863" i="19"/>
  <c r="D864" i="19"/>
  <c r="D865" i="19"/>
  <c r="D866" i="19"/>
  <c r="D867" i="19"/>
  <c r="D868" i="19"/>
  <c r="D869" i="19"/>
  <c r="D870" i="19"/>
  <c r="D871" i="19"/>
  <c r="D872" i="19"/>
  <c r="D873" i="19"/>
  <c r="D874" i="19"/>
  <c r="D875" i="19"/>
  <c r="D876" i="19"/>
  <c r="D877" i="19"/>
  <c r="D878" i="19"/>
  <c r="D879" i="19"/>
  <c r="D880" i="19"/>
  <c r="D881" i="19"/>
  <c r="D882" i="19"/>
  <c r="D883" i="19"/>
  <c r="D884" i="19"/>
  <c r="D885" i="19"/>
  <c r="D886" i="19"/>
  <c r="D887" i="19"/>
  <c r="D888" i="19"/>
  <c r="D889" i="19"/>
  <c r="D890" i="19"/>
  <c r="D891" i="19"/>
  <c r="D892" i="19"/>
  <c r="D893" i="19"/>
  <c r="D894" i="19"/>
  <c r="D895" i="19"/>
  <c r="D896" i="19"/>
  <c r="D897" i="19"/>
  <c r="D898" i="19"/>
  <c r="D899" i="19"/>
  <c r="D900" i="19"/>
  <c r="D901" i="19"/>
  <c r="D902" i="19"/>
  <c r="D903" i="19"/>
  <c r="D904" i="19"/>
  <c r="D905" i="19"/>
  <c r="D906" i="19"/>
  <c r="D907" i="19"/>
  <c r="D908" i="19"/>
  <c r="D909" i="19"/>
  <c r="D910" i="19"/>
  <c r="D911" i="19"/>
  <c r="D912" i="19"/>
  <c r="D913" i="19"/>
  <c r="D914" i="19"/>
  <c r="D915" i="19"/>
  <c r="D916" i="19"/>
  <c r="D917" i="19"/>
  <c r="D918" i="19"/>
  <c r="D919" i="19"/>
  <c r="D920" i="19"/>
  <c r="D921" i="19"/>
  <c r="D922" i="19"/>
  <c r="D923" i="19"/>
  <c r="D924" i="19"/>
  <c r="D925" i="19"/>
  <c r="D926" i="19"/>
  <c r="D927" i="19"/>
  <c r="D928" i="19"/>
  <c r="D929" i="19"/>
  <c r="D930" i="19"/>
  <c r="D931" i="19"/>
  <c r="D932" i="19"/>
  <c r="D933" i="19"/>
  <c r="D934" i="19"/>
  <c r="D935" i="19"/>
  <c r="D936" i="19"/>
  <c r="D937" i="19"/>
  <c r="D938" i="19"/>
  <c r="D939" i="19"/>
  <c r="D940" i="19"/>
  <c r="D941" i="19"/>
  <c r="D942" i="19"/>
  <c r="D943" i="19"/>
  <c r="D944" i="19"/>
  <c r="D945" i="19"/>
  <c r="D946" i="19"/>
  <c r="D947" i="19"/>
  <c r="D948" i="19"/>
  <c r="D949" i="19"/>
  <c r="D950" i="19"/>
  <c r="D951" i="19"/>
  <c r="D952" i="19"/>
  <c r="D953" i="19"/>
  <c r="D954" i="19"/>
  <c r="D955" i="19"/>
  <c r="D956" i="19"/>
  <c r="D957" i="19"/>
  <c r="D958" i="19"/>
  <c r="D959" i="19"/>
  <c r="D960" i="19"/>
  <c r="D961" i="19"/>
  <c r="D962" i="19"/>
  <c r="D963" i="19"/>
  <c r="D964" i="19"/>
  <c r="D965" i="19"/>
  <c r="D966" i="19"/>
  <c r="D967" i="19"/>
  <c r="D968" i="19"/>
  <c r="D969" i="19"/>
  <c r="D970" i="19"/>
  <c r="D971" i="19"/>
  <c r="D972" i="19"/>
  <c r="D973" i="19"/>
  <c r="D974" i="19"/>
  <c r="D975" i="19"/>
  <c r="D976" i="19"/>
  <c r="D977" i="19"/>
  <c r="D978" i="19"/>
  <c r="D979" i="19"/>
  <c r="D980" i="19"/>
  <c r="D981" i="19"/>
  <c r="D982" i="19"/>
  <c r="D983" i="19"/>
  <c r="D984" i="19"/>
  <c r="D985" i="19"/>
  <c r="D986" i="19"/>
  <c r="D987" i="19"/>
  <c r="D988" i="19"/>
  <c r="D989" i="19"/>
  <c r="D990" i="19"/>
  <c r="D991" i="19"/>
  <c r="D992" i="19"/>
  <c r="D993" i="19"/>
  <c r="D994" i="19"/>
  <c r="D995" i="19"/>
  <c r="D996" i="19"/>
  <c r="D997" i="19"/>
  <c r="D998" i="19"/>
  <c r="D999" i="19"/>
  <c r="D1000" i="19"/>
  <c r="D1001" i="19"/>
  <c r="D1002" i="19"/>
  <c r="D1003" i="19"/>
  <c r="D1004" i="19"/>
  <c r="D1005" i="19"/>
  <c r="D1006" i="19"/>
  <c r="D1007" i="19"/>
  <c r="D1008" i="19"/>
  <c r="D1009" i="19"/>
  <c r="D1010" i="19"/>
  <c r="D1011" i="19"/>
  <c r="D1012" i="19"/>
  <c r="D1013" i="19"/>
  <c r="D1014" i="19"/>
  <c r="D1015" i="19"/>
  <c r="D1016" i="19"/>
  <c r="D1017" i="19"/>
  <c r="D1018" i="19"/>
  <c r="D1019" i="19"/>
  <c r="D1020" i="19"/>
  <c r="D1021" i="19"/>
  <c r="D1022" i="19"/>
  <c r="D1023" i="19"/>
  <c r="D1024" i="19"/>
  <c r="D1025" i="19"/>
  <c r="D1026" i="19"/>
  <c r="D1027" i="19"/>
  <c r="D1028" i="19"/>
  <c r="D1029" i="19"/>
  <c r="D1030" i="19"/>
  <c r="D1031" i="19"/>
  <c r="D1032" i="19"/>
  <c r="D1033" i="19"/>
  <c r="D1034" i="19"/>
  <c r="D1035" i="19"/>
  <c r="D1036" i="19"/>
  <c r="D1037" i="19"/>
  <c r="D1038" i="19"/>
  <c r="D1039" i="19"/>
  <c r="D1040" i="19"/>
  <c r="D1041" i="19"/>
  <c r="D1042" i="19"/>
  <c r="D1043" i="19"/>
  <c r="D1044" i="19"/>
  <c r="D1045" i="19"/>
  <c r="D1046" i="19"/>
  <c r="D1047" i="19"/>
  <c r="D1048" i="19"/>
  <c r="D1049" i="19"/>
  <c r="D1050" i="19"/>
  <c r="D1051" i="19"/>
  <c r="D1052" i="19"/>
  <c r="D1053" i="19"/>
  <c r="D1054" i="19"/>
  <c r="D1055" i="19"/>
  <c r="D1056" i="19"/>
  <c r="D1057" i="19"/>
  <c r="D1058" i="19"/>
  <c r="D1059" i="19"/>
  <c r="D1060" i="19"/>
  <c r="D1061" i="19"/>
  <c r="D1062" i="19"/>
  <c r="D1063" i="19"/>
  <c r="D1064" i="19"/>
  <c r="D1065" i="19"/>
  <c r="D1066" i="19"/>
  <c r="D1067" i="19"/>
  <c r="D1068" i="19"/>
  <c r="D1069" i="19"/>
  <c r="D1070" i="19"/>
  <c r="D1071" i="19"/>
  <c r="D1072" i="19"/>
  <c r="D1073" i="19"/>
  <c r="D1074" i="19"/>
  <c r="D1075" i="19"/>
  <c r="D1076" i="19"/>
  <c r="D1077" i="19"/>
  <c r="D1078" i="19"/>
  <c r="D1079" i="19"/>
  <c r="D1080" i="19"/>
  <c r="D1081" i="19"/>
  <c r="D1082" i="19"/>
  <c r="D1083" i="19"/>
  <c r="D1084" i="19"/>
  <c r="D1085" i="19"/>
  <c r="D1086" i="19"/>
  <c r="D1087" i="19"/>
  <c r="D1088" i="19"/>
  <c r="D1089" i="19"/>
  <c r="D1090" i="19"/>
  <c r="D1091" i="19"/>
  <c r="D1092" i="19"/>
  <c r="D1093" i="19"/>
  <c r="D1094" i="19"/>
  <c r="D1095" i="19"/>
  <c r="D1096" i="19"/>
  <c r="D1097" i="19"/>
  <c r="D1098" i="19"/>
  <c r="D1099" i="19"/>
  <c r="D1100" i="19"/>
  <c r="D1101" i="19"/>
  <c r="D1102" i="19"/>
  <c r="D1103" i="19"/>
  <c r="D1104" i="19"/>
  <c r="D1105" i="19"/>
  <c r="D1106" i="19"/>
  <c r="D1107" i="19"/>
  <c r="D1108" i="19"/>
  <c r="D1109" i="19"/>
  <c r="D1110" i="19"/>
  <c r="D1111" i="19"/>
  <c r="D1112" i="19"/>
  <c r="D1113" i="19"/>
  <c r="D1114" i="19"/>
  <c r="D1115" i="19"/>
  <c r="D1116" i="19"/>
  <c r="D1117" i="19"/>
  <c r="D1118" i="19"/>
  <c r="D1119" i="19"/>
  <c r="D1120" i="19"/>
  <c r="D1121" i="19"/>
  <c r="D1122" i="19"/>
  <c r="D1123" i="19"/>
  <c r="D1124" i="19"/>
  <c r="D1125" i="19"/>
  <c r="D1126" i="19"/>
  <c r="D1127" i="19"/>
  <c r="D1128" i="19"/>
  <c r="D1129" i="19"/>
  <c r="D1130" i="19"/>
  <c r="D1131" i="19"/>
  <c r="D1132" i="19"/>
  <c r="D1133" i="19"/>
  <c r="D1134" i="19"/>
  <c r="D1135" i="19"/>
  <c r="D1136" i="19"/>
  <c r="D1137" i="19"/>
  <c r="D1138" i="19"/>
  <c r="D1139" i="19"/>
  <c r="D1140" i="19"/>
  <c r="D1141" i="19"/>
  <c r="D1142" i="19"/>
  <c r="D1143" i="19"/>
  <c r="D1144" i="19"/>
  <c r="D1145" i="19"/>
  <c r="D1146" i="19"/>
  <c r="D1147" i="19"/>
  <c r="D1148" i="19"/>
  <c r="D1149" i="19"/>
  <c r="D1150" i="19"/>
  <c r="D1151" i="19"/>
  <c r="D1152" i="19"/>
  <c r="D1153" i="19"/>
  <c r="D1154" i="19"/>
  <c r="D1155" i="19"/>
  <c r="D1156" i="19"/>
  <c r="D1157" i="19"/>
  <c r="D1158" i="19"/>
  <c r="D1159" i="19"/>
  <c r="D1160" i="19"/>
  <c r="D1161" i="19"/>
  <c r="D1162" i="19"/>
  <c r="D1163" i="19"/>
  <c r="D1164" i="19"/>
  <c r="D1165" i="19"/>
  <c r="D1166" i="19"/>
  <c r="D1167" i="19"/>
  <c r="D1168" i="19"/>
  <c r="D1169" i="19"/>
  <c r="D1170" i="19"/>
  <c r="D1171" i="19"/>
  <c r="D1172" i="19"/>
  <c r="D1173" i="19"/>
  <c r="D1174" i="19"/>
  <c r="D1175" i="19"/>
  <c r="D1176" i="19"/>
  <c r="D1177" i="19"/>
  <c r="D1178" i="19"/>
  <c r="D1179" i="19"/>
  <c r="D1180" i="19"/>
  <c r="D1181" i="19"/>
  <c r="D1182" i="19"/>
  <c r="D1183" i="19"/>
  <c r="D1184" i="19"/>
  <c r="D1185" i="19"/>
  <c r="D1186" i="19"/>
  <c r="D1187" i="19"/>
  <c r="D1188" i="19"/>
  <c r="D1189" i="19"/>
  <c r="D1190" i="19"/>
  <c r="D1191" i="19"/>
  <c r="D1192" i="19"/>
  <c r="D1193" i="19"/>
  <c r="D1194" i="19"/>
  <c r="D1195" i="19"/>
  <c r="D1196" i="19"/>
  <c r="D1197" i="19"/>
  <c r="D1198" i="19"/>
  <c r="D1199" i="19"/>
  <c r="D1200" i="19"/>
  <c r="D1201" i="19"/>
  <c r="D1202" i="19"/>
  <c r="D1203" i="19"/>
  <c r="D1204" i="19"/>
  <c r="D1205" i="19"/>
  <c r="D1206" i="19"/>
  <c r="D1207" i="19"/>
  <c r="D1208" i="19"/>
  <c r="D1209" i="19"/>
  <c r="D1210" i="19"/>
  <c r="D1211" i="19"/>
  <c r="D1212" i="19"/>
  <c r="D1213" i="19"/>
  <c r="D1214" i="19"/>
  <c r="D1215" i="19"/>
  <c r="D1216" i="19"/>
  <c r="D1217" i="19"/>
  <c r="D1218" i="19"/>
  <c r="D1219" i="19"/>
  <c r="D1220" i="19"/>
  <c r="D1221" i="19"/>
  <c r="D1222" i="19"/>
  <c r="D1223" i="19"/>
  <c r="D1224" i="19"/>
  <c r="D1225" i="19"/>
  <c r="D1226" i="19"/>
  <c r="D1227" i="19"/>
  <c r="D1228" i="19"/>
  <c r="D1229" i="19"/>
  <c r="D1230" i="19"/>
  <c r="D1231" i="19"/>
  <c r="D1232" i="19"/>
  <c r="D1233" i="19"/>
  <c r="D1234" i="19"/>
  <c r="D1235" i="19"/>
  <c r="D1236" i="19"/>
  <c r="D1237" i="19"/>
  <c r="D1238" i="19"/>
  <c r="D1239" i="19"/>
  <c r="D1240" i="19"/>
  <c r="D1241" i="19"/>
  <c r="D1242" i="19"/>
  <c r="D1243" i="19"/>
  <c r="D1244" i="19"/>
  <c r="D1245" i="19"/>
  <c r="D6" i="19"/>
  <c r="B3" i="18"/>
  <c r="I6" i="17"/>
  <c r="H6" i="17"/>
  <c r="G6" i="17"/>
  <c r="G5" i="17"/>
  <c r="F7" i="17"/>
  <c r="F6" i="17"/>
  <c r="F5" i="17"/>
  <c r="E3" i="17"/>
  <c r="I21" i="16"/>
  <c r="D4" i="16"/>
  <c r="E4" i="16" s="1"/>
  <c r="F4" i="16" s="1"/>
  <c r="G4" i="16" s="1"/>
  <c r="B3" i="16"/>
  <c r="C19" i="16" l="1"/>
  <c r="B29" i="16" s="1"/>
  <c r="J7" i="16"/>
  <c r="B31" i="16" l="1"/>
  <c r="B32" i="16" s="1"/>
  <c r="B33" i="16" s="1"/>
  <c r="C86" i="13"/>
  <c r="C49" i="13"/>
  <c r="D49" i="13" s="1"/>
  <c r="E49" i="13" s="1"/>
  <c r="F49" i="13" s="1"/>
  <c r="G49" i="13" s="1"/>
  <c r="C48" i="13"/>
  <c r="D48" i="13" s="1"/>
  <c r="E48" i="13" s="1"/>
  <c r="F48" i="13" s="1"/>
  <c r="G48" i="13" s="1"/>
  <c r="C39" i="13" l="1"/>
  <c r="D102" i="12"/>
  <c r="E102" i="12"/>
  <c r="F102" i="12"/>
  <c r="G102" i="12"/>
  <c r="H102" i="12"/>
  <c r="I102" i="12"/>
  <c r="J102" i="12"/>
  <c r="K102" i="12"/>
  <c r="L102" i="12"/>
  <c r="C102" i="12"/>
  <c r="D99" i="12"/>
  <c r="D80" i="12" s="1"/>
  <c r="E99" i="12"/>
  <c r="E80" i="12" s="1"/>
  <c r="F99" i="12"/>
  <c r="F80" i="12" s="1"/>
  <c r="G99" i="12"/>
  <c r="G80" i="12" s="1"/>
  <c r="H99" i="12"/>
  <c r="H80" i="12" s="1"/>
  <c r="I99" i="12"/>
  <c r="I80" i="12" s="1"/>
  <c r="J99" i="12"/>
  <c r="J80" i="12" s="1"/>
  <c r="K99" i="12"/>
  <c r="K80" i="12" s="1"/>
  <c r="L99" i="12"/>
  <c r="L80" i="12" s="1"/>
  <c r="C99" i="12"/>
  <c r="C80" i="12" s="1"/>
  <c r="D96" i="12"/>
  <c r="E96" i="12"/>
  <c r="F96" i="12"/>
  <c r="G96" i="12"/>
  <c r="I96" i="12"/>
  <c r="J96" i="12"/>
  <c r="K96" i="12"/>
  <c r="L96" i="12"/>
  <c r="C96" i="12"/>
  <c r="D95" i="12"/>
  <c r="E95" i="12"/>
  <c r="F95" i="12"/>
  <c r="G95" i="12"/>
  <c r="H95" i="12"/>
  <c r="I95" i="12"/>
  <c r="J95" i="12"/>
  <c r="K95" i="12"/>
  <c r="L95" i="12"/>
  <c r="C95" i="12"/>
  <c r="B2" i="13"/>
  <c r="D3" i="13"/>
  <c r="E3" i="13" s="1"/>
  <c r="F3" i="13" s="1"/>
  <c r="G3" i="13" s="1"/>
  <c r="K87" i="12"/>
  <c r="L87" i="12"/>
  <c r="C87" i="12"/>
  <c r="D86" i="12"/>
  <c r="D87" i="12" s="1"/>
  <c r="E86" i="12"/>
  <c r="E87" i="12" s="1"/>
  <c r="F86" i="12"/>
  <c r="F87" i="12" s="1"/>
  <c r="G86" i="12"/>
  <c r="G87" i="12" s="1"/>
  <c r="I86" i="12"/>
  <c r="I87" i="12" s="1"/>
  <c r="J86" i="12"/>
  <c r="N86" i="12" s="1"/>
  <c r="K86" i="12"/>
  <c r="L86" i="12"/>
  <c r="C86" i="12"/>
  <c r="D85" i="12"/>
  <c r="E85" i="12"/>
  <c r="F85" i="12"/>
  <c r="G85" i="12"/>
  <c r="H85" i="12"/>
  <c r="I85" i="12"/>
  <c r="J85" i="12"/>
  <c r="K85" i="12"/>
  <c r="L85" i="12"/>
  <c r="C85" i="12"/>
  <c r="D78" i="12"/>
  <c r="E78" i="12"/>
  <c r="F78" i="12"/>
  <c r="G78" i="12"/>
  <c r="H78" i="12"/>
  <c r="I78" i="12"/>
  <c r="J78" i="12"/>
  <c r="K78" i="12"/>
  <c r="L78" i="12"/>
  <c r="C78" i="12"/>
  <c r="C82" i="12" s="1"/>
  <c r="D75" i="12"/>
  <c r="E75" i="12"/>
  <c r="F75" i="12"/>
  <c r="G75" i="12"/>
  <c r="H75" i="12"/>
  <c r="I75" i="12"/>
  <c r="J75" i="12"/>
  <c r="K75" i="12"/>
  <c r="L75" i="12"/>
  <c r="C75" i="12"/>
  <c r="D71" i="12"/>
  <c r="E71" i="12"/>
  <c r="F71" i="12"/>
  <c r="G71" i="12"/>
  <c r="H71" i="12"/>
  <c r="I71" i="12"/>
  <c r="J71" i="12"/>
  <c r="K71" i="12"/>
  <c r="L71" i="12"/>
  <c r="C71" i="12"/>
  <c r="I66" i="12"/>
  <c r="J66" i="12"/>
  <c r="D65" i="12"/>
  <c r="E65" i="12"/>
  <c r="F65" i="12"/>
  <c r="F66" i="12" s="1"/>
  <c r="G65" i="12"/>
  <c r="H65" i="12"/>
  <c r="I65" i="12"/>
  <c r="J65" i="12"/>
  <c r="K65" i="12"/>
  <c r="K66" i="12" s="1"/>
  <c r="L65" i="12"/>
  <c r="L66" i="12" s="1"/>
  <c r="C65" i="12"/>
  <c r="D62" i="12"/>
  <c r="E62" i="12"/>
  <c r="F62" i="12"/>
  <c r="G62" i="12"/>
  <c r="H62" i="12"/>
  <c r="I62" i="12"/>
  <c r="J62" i="12"/>
  <c r="K62" i="12"/>
  <c r="L62" i="12"/>
  <c r="M62" i="12" s="1"/>
  <c r="C41" i="13" s="1"/>
  <c r="C80" i="13" s="1"/>
  <c r="C62" i="12"/>
  <c r="D54" i="12"/>
  <c r="E54" i="12"/>
  <c r="F54" i="12"/>
  <c r="G54" i="12"/>
  <c r="I54" i="12"/>
  <c r="J54" i="12"/>
  <c r="K54" i="12"/>
  <c r="L54" i="12"/>
  <c r="C54" i="12"/>
  <c r="D39" i="13" l="1"/>
  <c r="E39" i="13" s="1"/>
  <c r="F39" i="13" s="1"/>
  <c r="G39" i="13" s="1"/>
  <c r="L82" i="12"/>
  <c r="K82" i="12"/>
  <c r="J82" i="12"/>
  <c r="I82" i="12"/>
  <c r="H82" i="12"/>
  <c r="G82" i="12"/>
  <c r="F82" i="12"/>
  <c r="E82" i="12"/>
  <c r="D82" i="12"/>
  <c r="J87" i="12"/>
  <c r="Q62" i="12"/>
  <c r="G41" i="13" s="1"/>
  <c r="N62" i="12"/>
  <c r="D41" i="13" s="1"/>
  <c r="D80" i="13" s="1"/>
  <c r="O86" i="12"/>
  <c r="N66" i="12"/>
  <c r="N65" i="12" s="1"/>
  <c r="D23" i="13" s="1"/>
  <c r="M86" i="12"/>
  <c r="M87" i="12" s="1"/>
  <c r="P62" i="12"/>
  <c r="F41" i="13" s="1"/>
  <c r="O62" i="12"/>
  <c r="E41" i="13" s="1"/>
  <c r="E80" i="13" s="1"/>
  <c r="H66" i="12"/>
  <c r="Q86" i="12"/>
  <c r="Q87" i="12" s="1"/>
  <c r="G66" i="12"/>
  <c r="P86" i="12"/>
  <c r="P87" i="12" s="1"/>
  <c r="M96" i="12"/>
  <c r="N96" i="12"/>
  <c r="O96" i="12"/>
  <c r="P96" i="12"/>
  <c r="Q96" i="12"/>
  <c r="O87" i="12"/>
  <c r="P66" i="12"/>
  <c r="P65" i="12" s="1"/>
  <c r="F23" i="13" s="1"/>
  <c r="N87" i="12"/>
  <c r="O54" i="12"/>
  <c r="P54" i="12"/>
  <c r="Q54" i="12"/>
  <c r="M54" i="12"/>
  <c r="O66" i="12"/>
  <c r="N54" i="12"/>
  <c r="M66" i="12"/>
  <c r="M65" i="12" s="1"/>
  <c r="C23" i="13" s="1"/>
  <c r="Q66" i="12"/>
  <c r="Q65" i="12" s="1"/>
  <c r="G23" i="13" s="1"/>
  <c r="D56" i="12"/>
  <c r="E56" i="12"/>
  <c r="F56" i="12"/>
  <c r="G56" i="12"/>
  <c r="H56" i="12"/>
  <c r="I56" i="12"/>
  <c r="J56" i="12"/>
  <c r="K56" i="12"/>
  <c r="L56" i="12"/>
  <c r="C56" i="12"/>
  <c r="D53" i="12"/>
  <c r="E53" i="12"/>
  <c r="F53" i="12"/>
  <c r="G53" i="12"/>
  <c r="H53" i="12"/>
  <c r="I53" i="12"/>
  <c r="J53" i="12"/>
  <c r="K53" i="12"/>
  <c r="L53" i="12"/>
  <c r="C53" i="12"/>
  <c r="D47" i="12"/>
  <c r="E47" i="12"/>
  <c r="F47" i="12"/>
  <c r="G47" i="12"/>
  <c r="H47" i="12"/>
  <c r="I47" i="12"/>
  <c r="J47" i="12"/>
  <c r="K47" i="12"/>
  <c r="L47" i="12"/>
  <c r="C47" i="12"/>
  <c r="D18" i="14"/>
  <c r="D17" i="14"/>
  <c r="D16" i="14"/>
  <c r="D17" i="9"/>
  <c r="C17" i="9"/>
  <c r="C36" i="12"/>
  <c r="C37" i="12" s="1"/>
  <c r="D9" i="12"/>
  <c r="C9" i="12"/>
  <c r="D10" i="12" s="1"/>
  <c r="D36" i="12"/>
  <c r="E36" i="12"/>
  <c r="E37" i="12" s="1"/>
  <c r="F36" i="12"/>
  <c r="G36" i="12"/>
  <c r="H36" i="12"/>
  <c r="I36" i="12"/>
  <c r="J37" i="12" s="1"/>
  <c r="J36" i="12"/>
  <c r="K36" i="12"/>
  <c r="L36" i="12"/>
  <c r="D34" i="12"/>
  <c r="E34" i="12"/>
  <c r="F34" i="12"/>
  <c r="G34" i="12"/>
  <c r="H34" i="12"/>
  <c r="I34" i="12"/>
  <c r="J34" i="12"/>
  <c r="K34" i="12"/>
  <c r="L34" i="12"/>
  <c r="C34" i="12"/>
  <c r="D32" i="12"/>
  <c r="E32" i="12"/>
  <c r="F32" i="12"/>
  <c r="G32" i="12"/>
  <c r="H32" i="12"/>
  <c r="I32" i="12"/>
  <c r="J32" i="12"/>
  <c r="K32" i="12"/>
  <c r="L32" i="12"/>
  <c r="C32" i="12"/>
  <c r="C16" i="9"/>
  <c r="F80" i="13" l="1"/>
  <c r="G80" i="13"/>
  <c r="G83" i="12"/>
  <c r="I83" i="12"/>
  <c r="J83" i="12"/>
  <c r="K83" i="12"/>
  <c r="L39" i="12"/>
  <c r="L83" i="12"/>
  <c r="O65" i="12"/>
  <c r="E23" i="13" s="1"/>
  <c r="F37" i="12"/>
  <c r="H43" i="12"/>
  <c r="H100" i="12" s="1"/>
  <c r="G43" i="12"/>
  <c r="G100" i="12" s="1"/>
  <c r="H39" i="12"/>
  <c r="G39" i="12"/>
  <c r="F43" i="12"/>
  <c r="F100" i="12" s="1"/>
  <c r="E43" i="12"/>
  <c r="E100" i="12" s="1"/>
  <c r="D43" i="12"/>
  <c r="D100" i="12" s="1"/>
  <c r="C10" i="12"/>
  <c r="J39" i="12"/>
  <c r="K43" i="12"/>
  <c r="K100" i="12" s="1"/>
  <c r="J43" i="12"/>
  <c r="J100" i="12" s="1"/>
  <c r="C43" i="12"/>
  <c r="L43" i="12"/>
  <c r="L100" i="12" s="1"/>
  <c r="I43" i="12"/>
  <c r="D37" i="12"/>
  <c r="I37" i="12"/>
  <c r="H37" i="12"/>
  <c r="G37" i="12"/>
  <c r="K39" i="12"/>
  <c r="L37" i="12"/>
  <c r="I39" i="12"/>
  <c r="K37" i="12"/>
  <c r="F39" i="12"/>
  <c r="E39" i="12"/>
  <c r="D39" i="12"/>
  <c r="C39" i="12"/>
  <c r="C40" i="12" s="1"/>
  <c r="E9" i="12"/>
  <c r="E10" i="12" s="1"/>
  <c r="F9" i="12"/>
  <c r="F10" i="12" s="1"/>
  <c r="G9" i="12"/>
  <c r="H9" i="12"/>
  <c r="I9" i="12"/>
  <c r="J9" i="12"/>
  <c r="J10" i="12" s="1"/>
  <c r="K9" i="12"/>
  <c r="L9" i="12"/>
  <c r="D16" i="12"/>
  <c r="E16" i="12"/>
  <c r="F16" i="12"/>
  <c r="G16" i="12"/>
  <c r="H16" i="12"/>
  <c r="I16" i="12"/>
  <c r="J16" i="12"/>
  <c r="K16" i="12"/>
  <c r="L16" i="12"/>
  <c r="C16" i="12"/>
  <c r="C17" i="12" s="1"/>
  <c r="D7" i="12"/>
  <c r="D57" i="12" s="1"/>
  <c r="E7" i="12"/>
  <c r="E83" i="12" s="1"/>
  <c r="F7" i="12"/>
  <c r="F83" i="12" s="1"/>
  <c r="G7" i="12"/>
  <c r="H7" i="12"/>
  <c r="H83" i="12" s="1"/>
  <c r="I7" i="12"/>
  <c r="I57" i="12" s="1"/>
  <c r="J7" i="12"/>
  <c r="K7" i="12"/>
  <c r="L7" i="12"/>
  <c r="L57" i="12" s="1"/>
  <c r="C7" i="12"/>
  <c r="C83" i="12" s="1"/>
  <c r="B2" i="12"/>
  <c r="B2" i="9"/>
  <c r="D4" i="12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D3" i="12"/>
  <c r="E3" i="12" s="1"/>
  <c r="F3" i="12" s="1"/>
  <c r="G3" i="12" s="1"/>
  <c r="H3" i="12" s="1"/>
  <c r="I3" i="12" s="1"/>
  <c r="J3" i="12" s="1"/>
  <c r="K3" i="12" s="1"/>
  <c r="L3" i="12" s="1"/>
  <c r="M3" i="12" s="1"/>
  <c r="D46" i="8"/>
  <c r="E46" i="8"/>
  <c r="F46" i="8"/>
  <c r="G46" i="8"/>
  <c r="H46" i="8"/>
  <c r="I46" i="8"/>
  <c r="J46" i="8"/>
  <c r="K46" i="8"/>
  <c r="L46" i="8"/>
  <c r="D45" i="8"/>
  <c r="E45" i="8"/>
  <c r="F45" i="8"/>
  <c r="G45" i="8"/>
  <c r="H45" i="8"/>
  <c r="I45" i="8"/>
  <c r="J45" i="8"/>
  <c r="K45" i="8"/>
  <c r="L45" i="8"/>
  <c r="D44" i="8"/>
  <c r="E44" i="8"/>
  <c r="F44" i="8"/>
  <c r="G44" i="8"/>
  <c r="H44" i="8"/>
  <c r="I44" i="8"/>
  <c r="J44" i="8"/>
  <c r="K44" i="8"/>
  <c r="L44" i="8"/>
  <c r="C46" i="8"/>
  <c r="C45" i="8"/>
  <c r="C44" i="8"/>
  <c r="C39" i="8"/>
  <c r="D39" i="8"/>
  <c r="E39" i="8"/>
  <c r="F39" i="8"/>
  <c r="G39" i="8"/>
  <c r="H39" i="8"/>
  <c r="I39" i="8"/>
  <c r="J39" i="8"/>
  <c r="K39" i="8"/>
  <c r="L39" i="8"/>
  <c r="D38" i="8"/>
  <c r="E38" i="8"/>
  <c r="F38" i="8"/>
  <c r="G38" i="8"/>
  <c r="I38" i="8"/>
  <c r="J38" i="8"/>
  <c r="K38" i="8"/>
  <c r="L38" i="8"/>
  <c r="C38" i="8"/>
  <c r="D34" i="8"/>
  <c r="E34" i="8"/>
  <c r="F34" i="8"/>
  <c r="G34" i="8"/>
  <c r="H34" i="8"/>
  <c r="H54" i="12" s="1"/>
  <c r="I34" i="8"/>
  <c r="J34" i="8"/>
  <c r="K34" i="8"/>
  <c r="L34" i="8"/>
  <c r="C34" i="8"/>
  <c r="D32" i="8"/>
  <c r="E32" i="8"/>
  <c r="F32" i="8"/>
  <c r="G32" i="8"/>
  <c r="H32" i="8"/>
  <c r="I32" i="8"/>
  <c r="J32" i="8"/>
  <c r="K32" i="8"/>
  <c r="L32" i="8"/>
  <c r="C32" i="8"/>
  <c r="D31" i="8"/>
  <c r="E31" i="8"/>
  <c r="F31" i="8"/>
  <c r="G31" i="8"/>
  <c r="H31" i="8"/>
  <c r="H38" i="8" s="1"/>
  <c r="H96" i="12" s="1"/>
  <c r="I31" i="8"/>
  <c r="J31" i="8"/>
  <c r="K31" i="8"/>
  <c r="L31" i="8"/>
  <c r="C31" i="8"/>
  <c r="D28" i="8"/>
  <c r="E28" i="8"/>
  <c r="F28" i="8"/>
  <c r="G28" i="8"/>
  <c r="I28" i="8"/>
  <c r="J28" i="8"/>
  <c r="K28" i="8"/>
  <c r="L28" i="8"/>
  <c r="C28" i="8"/>
  <c r="D27" i="8"/>
  <c r="E27" i="8"/>
  <c r="F27" i="8"/>
  <c r="G27" i="8"/>
  <c r="I27" i="8"/>
  <c r="J27" i="8"/>
  <c r="K27" i="8"/>
  <c r="L27" i="8"/>
  <c r="C27" i="8"/>
  <c r="D26" i="8"/>
  <c r="E26" i="8"/>
  <c r="F26" i="8"/>
  <c r="G26" i="8"/>
  <c r="I26" i="8"/>
  <c r="J26" i="8"/>
  <c r="K26" i="8"/>
  <c r="L26" i="8"/>
  <c r="C26" i="8"/>
  <c r="D25" i="8"/>
  <c r="E25" i="8"/>
  <c r="F25" i="8"/>
  <c r="G25" i="8"/>
  <c r="I25" i="8"/>
  <c r="J25" i="8"/>
  <c r="K25" i="8"/>
  <c r="L25" i="8"/>
  <c r="C25" i="8"/>
  <c r="D41" i="7"/>
  <c r="E41" i="7"/>
  <c r="F41" i="7"/>
  <c r="G41" i="7"/>
  <c r="I41" i="7"/>
  <c r="J41" i="7"/>
  <c r="K41" i="7"/>
  <c r="L41" i="7"/>
  <c r="C41" i="7"/>
  <c r="D40" i="7"/>
  <c r="E40" i="7"/>
  <c r="F40" i="7"/>
  <c r="G40" i="7"/>
  <c r="I40" i="7"/>
  <c r="J40" i="7"/>
  <c r="K40" i="7"/>
  <c r="L40" i="7"/>
  <c r="C40" i="7"/>
  <c r="D39" i="7"/>
  <c r="E39" i="7"/>
  <c r="F39" i="7"/>
  <c r="G39" i="7"/>
  <c r="H39" i="7"/>
  <c r="I39" i="7"/>
  <c r="J39" i="7"/>
  <c r="K39" i="7"/>
  <c r="L39" i="7"/>
  <c r="C39" i="7"/>
  <c r="E18" i="8"/>
  <c r="B2" i="8"/>
  <c r="D74" i="7"/>
  <c r="E74" i="7"/>
  <c r="F74" i="7"/>
  <c r="G74" i="7"/>
  <c r="H74" i="7"/>
  <c r="I74" i="7"/>
  <c r="J74" i="7"/>
  <c r="K74" i="7"/>
  <c r="L74" i="7"/>
  <c r="D75" i="7"/>
  <c r="E75" i="7"/>
  <c r="F75" i="7"/>
  <c r="G75" i="7"/>
  <c r="H75" i="7"/>
  <c r="I75" i="7"/>
  <c r="J75" i="7"/>
  <c r="K75" i="7"/>
  <c r="L75" i="7"/>
  <c r="D76" i="7"/>
  <c r="E76" i="7"/>
  <c r="F76" i="7"/>
  <c r="G76" i="7"/>
  <c r="H76" i="7"/>
  <c r="I76" i="7"/>
  <c r="J76" i="7"/>
  <c r="K76" i="7"/>
  <c r="L76" i="7"/>
  <c r="C75" i="7"/>
  <c r="C76" i="7"/>
  <c r="C74" i="7"/>
  <c r="D59" i="7"/>
  <c r="E59" i="7"/>
  <c r="F59" i="7"/>
  <c r="G59" i="7"/>
  <c r="H59" i="7"/>
  <c r="I59" i="7"/>
  <c r="J59" i="7"/>
  <c r="K59" i="7"/>
  <c r="L59" i="7"/>
  <c r="D60" i="7"/>
  <c r="E60" i="7"/>
  <c r="F60" i="7"/>
  <c r="G60" i="7"/>
  <c r="H60" i="7"/>
  <c r="I60" i="7"/>
  <c r="J60" i="7"/>
  <c r="K60" i="7"/>
  <c r="L60" i="7"/>
  <c r="D61" i="7"/>
  <c r="E61" i="7"/>
  <c r="F61" i="7"/>
  <c r="G61" i="7"/>
  <c r="H61" i="7"/>
  <c r="I61" i="7"/>
  <c r="J61" i="7"/>
  <c r="K61" i="7"/>
  <c r="L61" i="7"/>
  <c r="D62" i="7"/>
  <c r="E62" i="7"/>
  <c r="F62" i="7"/>
  <c r="G62" i="7"/>
  <c r="H62" i="7"/>
  <c r="I62" i="7"/>
  <c r="J62" i="7"/>
  <c r="K62" i="7"/>
  <c r="L62" i="7"/>
  <c r="C60" i="7"/>
  <c r="C61" i="7"/>
  <c r="C62" i="7"/>
  <c r="C59" i="7"/>
  <c r="D53" i="7"/>
  <c r="E53" i="7"/>
  <c r="F53" i="7"/>
  <c r="G53" i="7"/>
  <c r="H53" i="7"/>
  <c r="I53" i="7"/>
  <c r="J53" i="7"/>
  <c r="K53" i="7"/>
  <c r="L53" i="7"/>
  <c r="D54" i="7"/>
  <c r="E54" i="7"/>
  <c r="F54" i="7"/>
  <c r="G54" i="7"/>
  <c r="H54" i="7"/>
  <c r="I54" i="7"/>
  <c r="J54" i="7"/>
  <c r="K54" i="7"/>
  <c r="L54" i="7"/>
  <c r="D55" i="7"/>
  <c r="E55" i="7"/>
  <c r="F55" i="7"/>
  <c r="G55" i="7"/>
  <c r="H55" i="7"/>
  <c r="I55" i="7"/>
  <c r="J55" i="7"/>
  <c r="K55" i="7"/>
  <c r="L55" i="7"/>
  <c r="C54" i="7"/>
  <c r="C55" i="7"/>
  <c r="C53" i="7"/>
  <c r="D45" i="7"/>
  <c r="E45" i="7"/>
  <c r="F45" i="7"/>
  <c r="G45" i="7"/>
  <c r="H45" i="7"/>
  <c r="I45" i="7"/>
  <c r="J45" i="7"/>
  <c r="K45" i="7"/>
  <c r="L45" i="7"/>
  <c r="D46" i="7"/>
  <c r="E46" i="7"/>
  <c r="F46" i="7"/>
  <c r="G46" i="7"/>
  <c r="H46" i="7"/>
  <c r="I46" i="7"/>
  <c r="J46" i="7"/>
  <c r="K46" i="7"/>
  <c r="L46" i="7"/>
  <c r="D47" i="7"/>
  <c r="E47" i="7"/>
  <c r="F47" i="7"/>
  <c r="G47" i="7"/>
  <c r="H47" i="7"/>
  <c r="I47" i="7"/>
  <c r="J47" i="7"/>
  <c r="K47" i="7"/>
  <c r="L47" i="7"/>
  <c r="D48" i="7"/>
  <c r="E48" i="7"/>
  <c r="F48" i="7"/>
  <c r="G48" i="7"/>
  <c r="H48" i="7"/>
  <c r="I48" i="7"/>
  <c r="J48" i="7"/>
  <c r="K48" i="7"/>
  <c r="L48" i="7"/>
  <c r="C46" i="7"/>
  <c r="C47" i="7"/>
  <c r="C48" i="7"/>
  <c r="C45" i="7"/>
  <c r="C23" i="8" s="1"/>
  <c r="D34" i="7"/>
  <c r="E34" i="7"/>
  <c r="F34" i="7"/>
  <c r="G34" i="7"/>
  <c r="H34" i="7"/>
  <c r="I34" i="7"/>
  <c r="J34" i="7"/>
  <c r="K34" i="7"/>
  <c r="L34" i="7"/>
  <c r="C34" i="7"/>
  <c r="D28" i="7"/>
  <c r="E28" i="7"/>
  <c r="F28" i="7"/>
  <c r="G28" i="7"/>
  <c r="H28" i="7"/>
  <c r="I28" i="7"/>
  <c r="J28" i="7"/>
  <c r="K28" i="7"/>
  <c r="L28" i="7"/>
  <c r="C28" i="7"/>
  <c r="D25" i="7"/>
  <c r="E25" i="7"/>
  <c r="F25" i="7"/>
  <c r="F18" i="8" s="1"/>
  <c r="G25" i="7"/>
  <c r="H25" i="7"/>
  <c r="I25" i="7"/>
  <c r="J25" i="7"/>
  <c r="K25" i="7"/>
  <c r="L25" i="7"/>
  <c r="C25" i="7"/>
  <c r="D22" i="7"/>
  <c r="E22" i="7"/>
  <c r="F22" i="7"/>
  <c r="G22" i="7"/>
  <c r="H22" i="7"/>
  <c r="I22" i="7"/>
  <c r="J22" i="7"/>
  <c r="K22" i="7"/>
  <c r="L22" i="7"/>
  <c r="C22" i="7"/>
  <c r="D15" i="7"/>
  <c r="E15" i="7"/>
  <c r="F15" i="7"/>
  <c r="G15" i="7"/>
  <c r="H15" i="7"/>
  <c r="I15" i="7"/>
  <c r="J15" i="7"/>
  <c r="K15" i="7"/>
  <c r="L15" i="7"/>
  <c r="L16" i="7" s="1"/>
  <c r="L17" i="8" s="1"/>
  <c r="C15" i="7"/>
  <c r="C16" i="7" s="1"/>
  <c r="C17" i="8" s="1"/>
  <c r="C8" i="7"/>
  <c r="D8" i="7"/>
  <c r="E8" i="7"/>
  <c r="F8" i="7"/>
  <c r="G8" i="7"/>
  <c r="H8" i="7"/>
  <c r="I8" i="7"/>
  <c r="J8" i="7"/>
  <c r="K8" i="7"/>
  <c r="L8" i="7"/>
  <c r="L9" i="7" s="1"/>
  <c r="D5" i="7"/>
  <c r="E5" i="7"/>
  <c r="F5" i="7"/>
  <c r="G5" i="7"/>
  <c r="I5" i="7"/>
  <c r="I6" i="7" s="1"/>
  <c r="I5" i="8" s="1"/>
  <c r="J5" i="7"/>
  <c r="J6" i="7" s="1"/>
  <c r="J5" i="8" s="1"/>
  <c r="K5" i="7"/>
  <c r="L5" i="7"/>
  <c r="L6" i="7" s="1"/>
  <c r="L5" i="8" s="1"/>
  <c r="C5" i="7"/>
  <c r="B2" i="7"/>
  <c r="P83" i="12" l="1"/>
  <c r="Q83" i="12"/>
  <c r="M83" i="12"/>
  <c r="N83" i="12"/>
  <c r="O83" i="12"/>
  <c r="D83" i="12"/>
  <c r="H48" i="12"/>
  <c r="H72" i="12"/>
  <c r="H103" i="12"/>
  <c r="H76" i="12"/>
  <c r="G48" i="12"/>
  <c r="G72" i="12"/>
  <c r="G76" i="12"/>
  <c r="G103" i="12"/>
  <c r="C44" i="12"/>
  <c r="C100" i="12"/>
  <c r="H57" i="12"/>
  <c r="C48" i="12"/>
  <c r="C103" i="12"/>
  <c r="C72" i="12"/>
  <c r="C76" i="12"/>
  <c r="C57" i="12"/>
  <c r="L48" i="12"/>
  <c r="L103" i="12"/>
  <c r="L76" i="12"/>
  <c r="L72" i="12"/>
  <c r="F48" i="12"/>
  <c r="F72" i="12"/>
  <c r="F76" i="12"/>
  <c r="F103" i="12"/>
  <c r="N100" i="12"/>
  <c r="P100" i="12"/>
  <c r="Q100" i="12"/>
  <c r="O100" i="12"/>
  <c r="M100" i="12"/>
  <c r="E48" i="12"/>
  <c r="E72" i="12"/>
  <c r="E76" i="12"/>
  <c r="E103" i="12"/>
  <c r="E57" i="12"/>
  <c r="D48" i="12"/>
  <c r="D72" i="12"/>
  <c r="D76" i="12"/>
  <c r="D103" i="12"/>
  <c r="F57" i="12"/>
  <c r="G57" i="12"/>
  <c r="K48" i="12"/>
  <c r="K103" i="12"/>
  <c r="K76" i="12"/>
  <c r="K72" i="12"/>
  <c r="J48" i="12"/>
  <c r="J103" i="12"/>
  <c r="J76" i="12"/>
  <c r="J72" i="12"/>
  <c r="J57" i="12"/>
  <c r="I48" i="12"/>
  <c r="I103" i="12"/>
  <c r="I72" i="12"/>
  <c r="I76" i="12"/>
  <c r="I44" i="12"/>
  <c r="I100" i="12"/>
  <c r="K57" i="12"/>
  <c r="I40" i="12"/>
  <c r="H17" i="12"/>
  <c r="H40" i="12"/>
  <c r="H44" i="12"/>
  <c r="E44" i="12"/>
  <c r="F44" i="12"/>
  <c r="G44" i="12"/>
  <c r="I10" i="12"/>
  <c r="K40" i="12"/>
  <c r="F40" i="12"/>
  <c r="L44" i="12"/>
  <c r="L10" i="12"/>
  <c r="K23" i="12"/>
  <c r="K10" i="12"/>
  <c r="J44" i="12"/>
  <c r="K44" i="12"/>
  <c r="H10" i="12"/>
  <c r="M36" i="12"/>
  <c r="J17" i="12"/>
  <c r="G10" i="12"/>
  <c r="D44" i="12"/>
  <c r="N3" i="12"/>
  <c r="G40" i="12"/>
  <c r="D40" i="12"/>
  <c r="J40" i="12"/>
  <c r="E40" i="12"/>
  <c r="L40" i="12"/>
  <c r="E17" i="12"/>
  <c r="D17" i="12"/>
  <c r="L23" i="12"/>
  <c r="F17" i="12"/>
  <c r="K17" i="12"/>
  <c r="I23" i="12"/>
  <c r="I19" i="12"/>
  <c r="I20" i="12" s="1"/>
  <c r="J23" i="12"/>
  <c r="I17" i="12"/>
  <c r="L17" i="12"/>
  <c r="G19" i="12"/>
  <c r="G26" i="12" s="1"/>
  <c r="G27" i="12" s="1"/>
  <c r="G17" i="12"/>
  <c r="L12" i="12"/>
  <c r="K12" i="12"/>
  <c r="I12" i="12"/>
  <c r="G23" i="12"/>
  <c r="H12" i="12"/>
  <c r="J12" i="12"/>
  <c r="H19" i="12"/>
  <c r="H20" i="12" s="1"/>
  <c r="F23" i="12"/>
  <c r="G12" i="12"/>
  <c r="C23" i="12"/>
  <c r="C24" i="12" s="1"/>
  <c r="F19" i="12"/>
  <c r="F26" i="12" s="1"/>
  <c r="F27" i="12" s="1"/>
  <c r="E23" i="12"/>
  <c r="F12" i="12"/>
  <c r="D23" i="12"/>
  <c r="E12" i="12"/>
  <c r="D12" i="12"/>
  <c r="C19" i="12"/>
  <c r="C26" i="12" s="1"/>
  <c r="C27" i="12" s="1"/>
  <c r="L19" i="12"/>
  <c r="L20" i="12" s="1"/>
  <c r="H23" i="12"/>
  <c r="K19" i="12"/>
  <c r="K20" i="12" s="1"/>
  <c r="J19" i="12"/>
  <c r="E19" i="12"/>
  <c r="C12" i="12"/>
  <c r="C13" i="12" s="1"/>
  <c r="L78" i="7"/>
  <c r="E78" i="7"/>
  <c r="L18" i="8"/>
  <c r="L23" i="8"/>
  <c r="D78" i="7"/>
  <c r="L11" i="7"/>
  <c r="L12" i="7" s="1"/>
  <c r="L11" i="8" s="1"/>
  <c r="K18" i="8"/>
  <c r="K23" i="8"/>
  <c r="I23" i="8"/>
  <c r="K78" i="7"/>
  <c r="G78" i="7"/>
  <c r="E9" i="7"/>
  <c r="E23" i="8"/>
  <c r="H57" i="7"/>
  <c r="F78" i="7"/>
  <c r="D11" i="7"/>
  <c r="D12" i="7" s="1"/>
  <c r="D11" i="8" s="1"/>
  <c r="J18" i="8"/>
  <c r="D23" i="8"/>
  <c r="J23" i="8"/>
  <c r="I18" i="8"/>
  <c r="K9" i="7"/>
  <c r="K16" i="7"/>
  <c r="K17" i="8" s="1"/>
  <c r="H18" i="8"/>
  <c r="H23" i="8"/>
  <c r="H78" i="7"/>
  <c r="I78" i="7"/>
  <c r="J78" i="7"/>
  <c r="C11" i="7"/>
  <c r="C12" i="7" s="1"/>
  <c r="C11" i="8" s="1"/>
  <c r="G18" i="8"/>
  <c r="G23" i="8"/>
  <c r="D18" i="8"/>
  <c r="L50" i="7"/>
  <c r="I50" i="7"/>
  <c r="F50" i="7"/>
  <c r="F23" i="8"/>
  <c r="D50" i="7"/>
  <c r="J57" i="7"/>
  <c r="I57" i="7"/>
  <c r="C18" i="8"/>
  <c r="K50" i="7"/>
  <c r="H50" i="7"/>
  <c r="E50" i="7"/>
  <c r="H9" i="7"/>
  <c r="C50" i="7"/>
  <c r="J50" i="7"/>
  <c r="G50" i="7"/>
  <c r="G57" i="7"/>
  <c r="D57" i="7"/>
  <c r="K64" i="7"/>
  <c r="H64" i="7"/>
  <c r="H66" i="7" s="1"/>
  <c r="E64" i="7"/>
  <c r="G9" i="7"/>
  <c r="L57" i="7"/>
  <c r="C64" i="7"/>
  <c r="J64" i="7"/>
  <c r="G64" i="7"/>
  <c r="D64" i="7"/>
  <c r="F11" i="7"/>
  <c r="F18" i="7" s="1"/>
  <c r="C9" i="7"/>
  <c r="D16" i="7"/>
  <c r="D17" i="8" s="1"/>
  <c r="K57" i="7"/>
  <c r="L64" i="7"/>
  <c r="I64" i="7"/>
  <c r="I66" i="7" s="1"/>
  <c r="F64" i="7"/>
  <c r="C78" i="7"/>
  <c r="K11" i="7"/>
  <c r="G16" i="7"/>
  <c r="G17" i="8" s="1"/>
  <c r="F16" i="7"/>
  <c r="F17" i="8" s="1"/>
  <c r="F9" i="7"/>
  <c r="E16" i="7"/>
  <c r="E17" i="8" s="1"/>
  <c r="C57" i="7"/>
  <c r="H6" i="7"/>
  <c r="H5" i="8" s="1"/>
  <c r="D9" i="7"/>
  <c r="I16" i="7"/>
  <c r="I17" i="8" s="1"/>
  <c r="G6" i="7"/>
  <c r="G5" i="8" s="1"/>
  <c r="H16" i="7"/>
  <c r="H17" i="8" s="1"/>
  <c r="F6" i="7"/>
  <c r="F5" i="8" s="1"/>
  <c r="E6" i="7"/>
  <c r="E5" i="8" s="1"/>
  <c r="F57" i="7"/>
  <c r="E57" i="7"/>
  <c r="F12" i="7"/>
  <c r="F11" i="8" s="1"/>
  <c r="J11" i="7"/>
  <c r="I11" i="7"/>
  <c r="C18" i="7"/>
  <c r="C22" i="8" s="1"/>
  <c r="C24" i="8" s="1"/>
  <c r="J9" i="7"/>
  <c r="H11" i="7"/>
  <c r="I9" i="7"/>
  <c r="G11" i="7"/>
  <c r="D6" i="7"/>
  <c r="D5" i="8" s="1"/>
  <c r="E11" i="7"/>
  <c r="K6" i="7"/>
  <c r="K5" i="8" s="1"/>
  <c r="J16" i="7"/>
  <c r="J17" i="8" s="1"/>
  <c r="N48" i="12" l="1"/>
  <c r="O48" i="12"/>
  <c r="Q57" i="12"/>
  <c r="N57" i="12"/>
  <c r="O57" i="12"/>
  <c r="P57" i="12"/>
  <c r="M57" i="12"/>
  <c r="Q72" i="12"/>
  <c r="M72" i="12"/>
  <c r="N72" i="12"/>
  <c r="O72" i="12"/>
  <c r="P72" i="12"/>
  <c r="M39" i="12"/>
  <c r="M37" i="26" s="1"/>
  <c r="M33" i="26" s="1"/>
  <c r="N76" i="12"/>
  <c r="O76" i="12"/>
  <c r="P76" i="12"/>
  <c r="Q76" i="12"/>
  <c r="M76" i="12"/>
  <c r="M48" i="12"/>
  <c r="Q48" i="12"/>
  <c r="P48" i="12"/>
  <c r="O103" i="12"/>
  <c r="P103" i="12"/>
  <c r="N103" i="12"/>
  <c r="Q103" i="12"/>
  <c r="M103" i="12"/>
  <c r="L24" i="12"/>
  <c r="N36" i="12"/>
  <c r="O36" i="12" s="1"/>
  <c r="P36" i="12" s="1"/>
  <c r="M9" i="12"/>
  <c r="M44" i="12"/>
  <c r="M43" i="12" s="1"/>
  <c r="M99" i="12" s="1"/>
  <c r="M80" i="12" s="1"/>
  <c r="N44" i="12"/>
  <c r="O44" i="12"/>
  <c r="P44" i="12"/>
  <c r="Q44" i="12"/>
  <c r="J20" i="12"/>
  <c r="N19" i="12"/>
  <c r="O19" i="12"/>
  <c r="P19" i="12"/>
  <c r="Q19" i="12"/>
  <c r="M19" i="12"/>
  <c r="O3" i="12"/>
  <c r="J24" i="12"/>
  <c r="J13" i="12"/>
  <c r="M16" i="12"/>
  <c r="M20" i="26" s="1"/>
  <c r="M24" i="26" s="1"/>
  <c r="H13" i="12"/>
  <c r="F24" i="12"/>
  <c r="H24" i="12"/>
  <c r="D13" i="12"/>
  <c r="E13" i="12"/>
  <c r="I13" i="12"/>
  <c r="F13" i="12"/>
  <c r="K13" i="12"/>
  <c r="L13" i="12"/>
  <c r="G13" i="12"/>
  <c r="G24" i="12"/>
  <c r="D24" i="12"/>
  <c r="I24" i="12"/>
  <c r="E24" i="12"/>
  <c r="K24" i="12"/>
  <c r="I26" i="12"/>
  <c r="I27" i="12" s="1"/>
  <c r="G20" i="12"/>
  <c r="H26" i="12"/>
  <c r="H27" i="12" s="1"/>
  <c r="L26" i="12"/>
  <c r="L27" i="12" s="1"/>
  <c r="C20" i="12"/>
  <c r="J26" i="12"/>
  <c r="J27" i="12" s="1"/>
  <c r="K26" i="12"/>
  <c r="K27" i="12" s="1"/>
  <c r="D26" i="12"/>
  <c r="D27" i="12" s="1"/>
  <c r="E20" i="12"/>
  <c r="E26" i="12"/>
  <c r="E27" i="12" s="1"/>
  <c r="G66" i="7"/>
  <c r="G68" i="7" s="1"/>
  <c r="C66" i="7"/>
  <c r="L18" i="7"/>
  <c r="C68" i="7"/>
  <c r="I68" i="7"/>
  <c r="E66" i="7"/>
  <c r="E68" i="7" s="1"/>
  <c r="H68" i="7"/>
  <c r="D18" i="7"/>
  <c r="D6" i="8" s="1"/>
  <c r="F22" i="8"/>
  <c r="F24" i="8" s="1"/>
  <c r="F66" i="7"/>
  <c r="F68" i="7" s="1"/>
  <c r="L22" i="8"/>
  <c r="L24" i="8" s="1"/>
  <c r="L66" i="7"/>
  <c r="L68" i="7" s="1"/>
  <c r="K66" i="7"/>
  <c r="K68" i="7" s="1"/>
  <c r="D66" i="7"/>
  <c r="D68" i="7" s="1"/>
  <c r="J66" i="7"/>
  <c r="J68" i="7" s="1"/>
  <c r="K18" i="7"/>
  <c r="K12" i="7"/>
  <c r="K11" i="8" s="1"/>
  <c r="C31" i="7"/>
  <c r="C19" i="7"/>
  <c r="I18" i="7"/>
  <c r="I12" i="7"/>
  <c r="I11" i="8" s="1"/>
  <c r="J18" i="7"/>
  <c r="J12" i="7"/>
  <c r="J11" i="8" s="1"/>
  <c r="E12" i="7"/>
  <c r="E11" i="8" s="1"/>
  <c r="E18" i="7"/>
  <c r="G18" i="7"/>
  <c r="G12" i="7"/>
  <c r="G11" i="8" s="1"/>
  <c r="L31" i="7"/>
  <c r="L19" i="7"/>
  <c r="F19" i="7"/>
  <c r="F31" i="7"/>
  <c r="H18" i="7"/>
  <c r="H12" i="7"/>
  <c r="H11" i="8" s="1"/>
  <c r="M5" i="26" l="1"/>
  <c r="M17" i="26" s="1"/>
  <c r="N9" i="12"/>
  <c r="M23" i="12"/>
  <c r="N39" i="12"/>
  <c r="N37" i="26" s="1"/>
  <c r="N33" i="26" s="1"/>
  <c r="M34" i="12"/>
  <c r="M32" i="12" s="1"/>
  <c r="C9" i="13" s="1"/>
  <c r="N43" i="12"/>
  <c r="Q36" i="12"/>
  <c r="P3" i="12"/>
  <c r="N16" i="12"/>
  <c r="M12" i="12"/>
  <c r="M7" i="12" s="1"/>
  <c r="M36" i="26" s="1"/>
  <c r="M32" i="26" s="1"/>
  <c r="O26" i="12"/>
  <c r="M26" i="12"/>
  <c r="P26" i="12"/>
  <c r="Q26" i="12"/>
  <c r="N26" i="12"/>
  <c r="D31" i="7"/>
  <c r="D7" i="8" s="1"/>
  <c r="D19" i="7"/>
  <c r="D22" i="8"/>
  <c r="D24" i="8" s="1"/>
  <c r="G22" i="8"/>
  <c r="G24" i="8" s="1"/>
  <c r="G6" i="8"/>
  <c r="K22" i="8"/>
  <c r="K24" i="8" s="1"/>
  <c r="K6" i="8"/>
  <c r="D19" i="8"/>
  <c r="D12" i="8"/>
  <c r="E6" i="8"/>
  <c r="E22" i="8"/>
  <c r="E24" i="8" s="1"/>
  <c r="H22" i="8"/>
  <c r="H6" i="8"/>
  <c r="J22" i="8"/>
  <c r="J24" i="8" s="1"/>
  <c r="J6" i="8"/>
  <c r="L6" i="8"/>
  <c r="F19" i="8"/>
  <c r="F12" i="8"/>
  <c r="I22" i="8"/>
  <c r="I24" i="8" s="1"/>
  <c r="I6" i="8"/>
  <c r="L19" i="8"/>
  <c r="L12" i="8"/>
  <c r="C12" i="8"/>
  <c r="C19" i="8"/>
  <c r="F6" i="8"/>
  <c r="K31" i="7"/>
  <c r="L7" i="8" s="1"/>
  <c r="K19" i="7"/>
  <c r="E19" i="7"/>
  <c r="E31" i="7"/>
  <c r="J31" i="7"/>
  <c r="J19" i="7"/>
  <c r="L37" i="7"/>
  <c r="L32" i="7"/>
  <c r="L13" i="8" s="1"/>
  <c r="L35" i="7"/>
  <c r="I31" i="7"/>
  <c r="I19" i="7"/>
  <c r="G19" i="7"/>
  <c r="G31" i="7"/>
  <c r="G7" i="8" s="1"/>
  <c r="H31" i="7"/>
  <c r="H19" i="7"/>
  <c r="F32" i="7"/>
  <c r="F13" i="8" s="1"/>
  <c r="F35" i="7"/>
  <c r="F37" i="7"/>
  <c r="C37" i="7"/>
  <c r="C14" i="8" s="1"/>
  <c r="C32" i="7"/>
  <c r="C13" i="8" s="1"/>
  <c r="C35" i="7"/>
  <c r="O16" i="12" l="1"/>
  <c r="O20" i="26" s="1"/>
  <c r="O24" i="26" s="1"/>
  <c r="N20" i="26"/>
  <c r="N24" i="26" s="1"/>
  <c r="N23" i="12"/>
  <c r="M23" i="26"/>
  <c r="M3" i="26"/>
  <c r="M12" i="26" s="1"/>
  <c r="O9" i="12"/>
  <c r="N5" i="26"/>
  <c r="N17" i="26" s="1"/>
  <c r="H24" i="8"/>
  <c r="H28" i="8"/>
  <c r="I7" i="8"/>
  <c r="M102" i="12"/>
  <c r="C55" i="13" s="1"/>
  <c r="M82" i="12"/>
  <c r="M56" i="12"/>
  <c r="C20" i="13" s="1"/>
  <c r="O43" i="12"/>
  <c r="N99" i="12"/>
  <c r="N80" i="12" s="1"/>
  <c r="M71" i="12"/>
  <c r="C26" i="13" s="1"/>
  <c r="M75" i="12"/>
  <c r="C56" i="13" s="1"/>
  <c r="M95" i="12"/>
  <c r="C53" i="13" s="1"/>
  <c r="C7" i="13"/>
  <c r="C11" i="13" s="1"/>
  <c r="M53" i="12"/>
  <c r="C47" i="13" s="1"/>
  <c r="M20" i="12"/>
  <c r="M47" i="12"/>
  <c r="C15" i="13" s="1"/>
  <c r="O39" i="12"/>
  <c r="O37" i="26" s="1"/>
  <c r="O33" i="26" s="1"/>
  <c r="N34" i="12"/>
  <c r="N32" i="12" s="1"/>
  <c r="D9" i="13" s="1"/>
  <c r="Q3" i="12"/>
  <c r="M27" i="12"/>
  <c r="N12" i="12"/>
  <c r="O12" i="12" s="1"/>
  <c r="D32" i="7"/>
  <c r="D13" i="8" s="1"/>
  <c r="D37" i="7"/>
  <c r="D35" i="7"/>
  <c r="E7" i="8"/>
  <c r="H7" i="8"/>
  <c r="G19" i="8"/>
  <c r="G12" i="8"/>
  <c r="I19" i="8"/>
  <c r="I12" i="8"/>
  <c r="D14" i="8"/>
  <c r="D8" i="8"/>
  <c r="L14" i="8"/>
  <c r="F14" i="8"/>
  <c r="J19" i="8"/>
  <c r="J12" i="8"/>
  <c r="J7" i="8"/>
  <c r="H12" i="8"/>
  <c r="H19" i="8"/>
  <c r="E19" i="8"/>
  <c r="E12" i="8"/>
  <c r="K19" i="8"/>
  <c r="K12" i="8"/>
  <c r="K7" i="8"/>
  <c r="F7" i="8"/>
  <c r="K32" i="7"/>
  <c r="K13" i="8" s="1"/>
  <c r="K35" i="7"/>
  <c r="K37" i="7"/>
  <c r="I32" i="7"/>
  <c r="I13" i="8" s="1"/>
  <c r="I35" i="7"/>
  <c r="I37" i="7"/>
  <c r="J32" i="7"/>
  <c r="J13" i="8" s="1"/>
  <c r="J35" i="7"/>
  <c r="J37" i="7"/>
  <c r="E37" i="7"/>
  <c r="F8" i="8" s="1"/>
  <c r="E32" i="7"/>
  <c r="E13" i="8" s="1"/>
  <c r="E35" i="7"/>
  <c r="H32" i="7"/>
  <c r="H13" i="8" s="1"/>
  <c r="H35" i="7"/>
  <c r="H37" i="7"/>
  <c r="G32" i="7"/>
  <c r="G13" i="8" s="1"/>
  <c r="G35" i="7"/>
  <c r="G37" i="7"/>
  <c r="P16" i="12" l="1"/>
  <c r="Q16" i="12" s="1"/>
  <c r="Q20" i="26" s="1"/>
  <c r="Q24" i="26" s="1"/>
  <c r="O23" i="12"/>
  <c r="N23" i="26"/>
  <c r="M7" i="26"/>
  <c r="M13" i="26" s="1"/>
  <c r="P9" i="12"/>
  <c r="O5" i="26"/>
  <c r="O17" i="26" s="1"/>
  <c r="H26" i="8"/>
  <c r="H40" i="7"/>
  <c r="C69" i="13"/>
  <c r="C6" i="16"/>
  <c r="M78" i="12"/>
  <c r="C42" i="13" s="1"/>
  <c r="C70" i="13" s="1"/>
  <c r="C8" i="16" s="1"/>
  <c r="C12" i="13"/>
  <c r="C17" i="13"/>
  <c r="C51" i="13"/>
  <c r="C75" i="13"/>
  <c r="P43" i="12"/>
  <c r="O99" i="12"/>
  <c r="O80" i="12" s="1"/>
  <c r="P39" i="12"/>
  <c r="P37" i="26" s="1"/>
  <c r="P33" i="26" s="1"/>
  <c r="O34" i="12"/>
  <c r="O32" i="12" s="1"/>
  <c r="E9" i="13" s="1"/>
  <c r="N7" i="12"/>
  <c r="N36" i="26" s="1"/>
  <c r="N32" i="26" s="1"/>
  <c r="P12" i="12"/>
  <c r="O7" i="12"/>
  <c r="O36" i="26" s="1"/>
  <c r="O32" i="26" s="1"/>
  <c r="H8" i="8"/>
  <c r="H14" i="8"/>
  <c r="H4" i="10" s="1"/>
  <c r="H8" i="10" s="1"/>
  <c r="K8" i="8"/>
  <c r="K14" i="8"/>
  <c r="E14" i="8"/>
  <c r="E8" i="8"/>
  <c r="L8" i="8"/>
  <c r="J14" i="8"/>
  <c r="J8" i="8"/>
  <c r="G8" i="8"/>
  <c r="G14" i="8"/>
  <c r="I8" i="8"/>
  <c r="I14" i="8"/>
  <c r="P20" i="26" l="1"/>
  <c r="P24" i="26" s="1"/>
  <c r="P23" i="12"/>
  <c r="O23" i="26"/>
  <c r="Q9" i="12"/>
  <c r="Q5" i="26" s="1"/>
  <c r="P5" i="26"/>
  <c r="P17" i="26" s="1"/>
  <c r="O82" i="12"/>
  <c r="O78" i="12" s="1"/>
  <c r="E42" i="13" s="1"/>
  <c r="O3" i="26"/>
  <c r="O12" i="26" s="1"/>
  <c r="N82" i="12"/>
  <c r="N78" i="12" s="1"/>
  <c r="D42" i="13" s="1"/>
  <c r="N3" i="26"/>
  <c r="N12" i="26" s="1"/>
  <c r="H86" i="12"/>
  <c r="H87" i="12" s="1"/>
  <c r="H41" i="7"/>
  <c r="H25" i="8" s="1"/>
  <c r="H27" i="8" s="1"/>
  <c r="C77" i="13"/>
  <c r="C7" i="16"/>
  <c r="C18" i="13"/>
  <c r="C5" i="16"/>
  <c r="C28" i="13"/>
  <c r="C30" i="13" s="1"/>
  <c r="C32" i="13" s="1"/>
  <c r="C40" i="13" s="1"/>
  <c r="Q43" i="12"/>
  <c r="Q99" i="12" s="1"/>
  <c r="Q80" i="12" s="1"/>
  <c r="P99" i="12"/>
  <c r="P80" i="12" s="1"/>
  <c r="O47" i="12"/>
  <c r="E15" i="13" s="1"/>
  <c r="O53" i="12"/>
  <c r="E47" i="13" s="1"/>
  <c r="E7" i="13"/>
  <c r="E11" i="13" s="1"/>
  <c r="O95" i="12"/>
  <c r="E53" i="13" s="1"/>
  <c r="O71" i="12"/>
  <c r="E26" i="13" s="1"/>
  <c r="O75" i="12"/>
  <c r="E56" i="13" s="1"/>
  <c r="O102" i="12"/>
  <c r="E55" i="13" s="1"/>
  <c r="O56" i="12"/>
  <c r="E20" i="13" s="1"/>
  <c r="N53" i="12"/>
  <c r="D47" i="13" s="1"/>
  <c r="D7" i="13"/>
  <c r="D11" i="13" s="1"/>
  <c r="N95" i="12"/>
  <c r="D53" i="13" s="1"/>
  <c r="N56" i="12"/>
  <c r="D20" i="13" s="1"/>
  <c r="N71" i="12"/>
  <c r="D26" i="13" s="1"/>
  <c r="N102" i="12"/>
  <c r="D55" i="13" s="1"/>
  <c r="N75" i="12"/>
  <c r="D56" i="13" s="1"/>
  <c r="N20" i="12"/>
  <c r="N47" i="12"/>
  <c r="D15" i="13" s="1"/>
  <c r="Q39" i="12"/>
  <c r="P34" i="12"/>
  <c r="P32" i="12" s="1"/>
  <c r="F9" i="13" s="1"/>
  <c r="N27" i="12"/>
  <c r="O20" i="12"/>
  <c r="O27" i="12"/>
  <c r="P7" i="12"/>
  <c r="P36" i="26" s="1"/>
  <c r="P32" i="26" s="1"/>
  <c r="Q12" i="12"/>
  <c r="Q34" i="12" l="1"/>
  <c r="Q32" i="12" s="1"/>
  <c r="G9" i="13" s="1"/>
  <c r="Q37" i="26"/>
  <c r="Q33" i="26" s="1"/>
  <c r="P23" i="26"/>
  <c r="Q23" i="12"/>
  <c r="Q23" i="26" s="1"/>
  <c r="S5" i="26"/>
  <c r="Q17" i="26"/>
  <c r="N7" i="26"/>
  <c r="N13" i="26" s="1"/>
  <c r="O7" i="26"/>
  <c r="O13" i="26" s="1"/>
  <c r="Q7" i="12"/>
  <c r="P82" i="12"/>
  <c r="P78" i="12" s="1"/>
  <c r="F42" i="13" s="1"/>
  <c r="P3" i="26"/>
  <c r="P12" i="26" s="1"/>
  <c r="C10" i="16"/>
  <c r="C13" i="16" s="1"/>
  <c r="D70" i="13"/>
  <c r="D8" i="16" s="1"/>
  <c r="E69" i="13"/>
  <c r="E6" i="16"/>
  <c r="D69" i="13"/>
  <c r="D6" i="16"/>
  <c r="E70" i="13"/>
  <c r="E8" i="16" s="1"/>
  <c r="C44" i="13"/>
  <c r="E12" i="13"/>
  <c r="E17" i="13"/>
  <c r="C33" i="13"/>
  <c r="C68" i="13"/>
  <c r="C72" i="13" s="1"/>
  <c r="C81" i="13"/>
  <c r="P47" i="12"/>
  <c r="F15" i="13" s="1"/>
  <c r="F7" i="13"/>
  <c r="F11" i="13" s="1"/>
  <c r="P53" i="12"/>
  <c r="F47" i="13" s="1"/>
  <c r="P95" i="12"/>
  <c r="F53" i="13" s="1"/>
  <c r="P56" i="12"/>
  <c r="F20" i="13" s="1"/>
  <c r="P71" i="12"/>
  <c r="F26" i="13" s="1"/>
  <c r="P102" i="12"/>
  <c r="F55" i="13" s="1"/>
  <c r="P75" i="12"/>
  <c r="F56" i="13" s="1"/>
  <c r="E51" i="13"/>
  <c r="E75" i="13"/>
  <c r="D12" i="13"/>
  <c r="D17" i="13"/>
  <c r="D5" i="16" s="1"/>
  <c r="D51" i="13"/>
  <c r="D75" i="13"/>
  <c r="P20" i="12"/>
  <c r="P27" i="12"/>
  <c r="Q56" i="12" l="1"/>
  <c r="G20" i="13" s="1"/>
  <c r="G69" i="13" s="1"/>
  <c r="Q36" i="26"/>
  <c r="Q32" i="26" s="1"/>
  <c r="Q47" i="12"/>
  <c r="G15" i="13" s="1"/>
  <c r="Q20" i="12"/>
  <c r="G7" i="13"/>
  <c r="G11" i="13" s="1"/>
  <c r="Q95" i="12"/>
  <c r="G53" i="13" s="1"/>
  <c r="Q3" i="26"/>
  <c r="S3" i="26" s="1"/>
  <c r="Q27" i="12"/>
  <c r="Q82" i="12"/>
  <c r="Q78" i="12" s="1"/>
  <c r="G42" i="13" s="1"/>
  <c r="Q75" i="12"/>
  <c r="G56" i="13" s="1"/>
  <c r="Q102" i="12"/>
  <c r="G55" i="13" s="1"/>
  <c r="Q71" i="12"/>
  <c r="G26" i="13" s="1"/>
  <c r="Q53" i="12"/>
  <c r="G47" i="13" s="1"/>
  <c r="G51" i="13" s="1"/>
  <c r="P7" i="26"/>
  <c r="P13" i="26" s="1"/>
  <c r="C15" i="16"/>
  <c r="F69" i="13"/>
  <c r="F6" i="16"/>
  <c r="D77" i="13"/>
  <c r="D7" i="16"/>
  <c r="D10" i="16" s="1"/>
  <c r="D13" i="16" s="1"/>
  <c r="E18" i="13"/>
  <c r="E5" i="16"/>
  <c r="F70" i="13"/>
  <c r="F8" i="16" s="1"/>
  <c r="E77" i="13"/>
  <c r="E7" i="16"/>
  <c r="E28" i="13"/>
  <c r="E30" i="13" s="1"/>
  <c r="E32" i="13" s="1"/>
  <c r="F12" i="13"/>
  <c r="F17" i="13"/>
  <c r="D28" i="13"/>
  <c r="D30" i="13" s="1"/>
  <c r="D32" i="13" s="1"/>
  <c r="D40" i="13" s="1"/>
  <c r="D18" i="13"/>
  <c r="F51" i="13"/>
  <c r="F75" i="13"/>
  <c r="C83" i="13"/>
  <c r="C85" i="13" s="1"/>
  <c r="C87" i="13" s="1"/>
  <c r="B6" i="2"/>
  <c r="E1" i="2"/>
  <c r="G6" i="16" l="1"/>
  <c r="G17" i="13"/>
  <c r="G28" i="13" s="1"/>
  <c r="G30" i="13" s="1"/>
  <c r="G32" i="13" s="1"/>
  <c r="Q7" i="26"/>
  <c r="Q13" i="26" s="1"/>
  <c r="G70" i="13"/>
  <c r="G8" i="16" s="1"/>
  <c r="Q12" i="26"/>
  <c r="G75" i="13"/>
  <c r="G7" i="16" s="1"/>
  <c r="G12" i="13"/>
  <c r="E10" i="16"/>
  <c r="E13" i="16" s="1"/>
  <c r="E40" i="13"/>
  <c r="D15" i="16"/>
  <c r="F18" i="13"/>
  <c r="F5" i="16"/>
  <c r="F28" i="13"/>
  <c r="F30" i="13" s="1"/>
  <c r="F32" i="13" s="1"/>
  <c r="F77" i="13"/>
  <c r="F7" i="16"/>
  <c r="D33" i="13"/>
  <c r="D68" i="13"/>
  <c r="D72" i="13" s="1"/>
  <c r="D81" i="13"/>
  <c r="D83" i="13" s="1"/>
  <c r="E33" i="13"/>
  <c r="E68" i="13"/>
  <c r="E72" i="13" s="1"/>
  <c r="E81" i="13"/>
  <c r="E83" i="13" s="1"/>
  <c r="C54" i="13"/>
  <c r="C58" i="13" s="1"/>
  <c r="C60" i="13" s="1"/>
  <c r="C62" i="13" s="1"/>
  <c r="D86" i="13"/>
  <c r="D44" i="13"/>
  <c r="G5" i="16" l="1"/>
  <c r="G10" i="16" s="1"/>
  <c r="G13" i="16" s="1"/>
  <c r="G18" i="13"/>
  <c r="S7" i="26"/>
  <c r="G77" i="13"/>
  <c r="E15" i="16"/>
  <c r="D85" i="13"/>
  <c r="D87" i="13" s="1"/>
  <c r="E85" i="13"/>
  <c r="F10" i="16"/>
  <c r="F13" i="16" s="1"/>
  <c r="F40" i="13"/>
  <c r="G40" i="13" s="1"/>
  <c r="F33" i="13"/>
  <c r="F68" i="13"/>
  <c r="F72" i="13" s="1"/>
  <c r="F81" i="13"/>
  <c r="F83" i="13" s="1"/>
  <c r="E44" i="13"/>
  <c r="G33" i="13"/>
  <c r="G68" i="13"/>
  <c r="G72" i="13" s="1"/>
  <c r="G81" i="13"/>
  <c r="G83" i="13" s="1"/>
  <c r="G15" i="16" l="1"/>
  <c r="J5" i="16"/>
  <c r="D32" i="16" s="1"/>
  <c r="F15" i="16"/>
  <c r="F85" i="13"/>
  <c r="C21" i="16"/>
  <c r="G85" i="13"/>
  <c r="D54" i="13"/>
  <c r="D58" i="13" s="1"/>
  <c r="D60" i="13" s="1"/>
  <c r="D62" i="13" s="1"/>
  <c r="E86" i="13"/>
  <c r="E87" i="13" s="1"/>
  <c r="F44" i="13"/>
  <c r="F33" i="16" l="1"/>
  <c r="E33" i="16"/>
  <c r="G29" i="16"/>
  <c r="E30" i="16"/>
  <c r="G30" i="16"/>
  <c r="G32" i="16"/>
  <c r="F31" i="16"/>
  <c r="C30" i="16"/>
  <c r="F32" i="16"/>
  <c r="J8" i="16"/>
  <c r="C22" i="16" s="1"/>
  <c r="C23" i="16" s="1"/>
  <c r="D33" i="16"/>
  <c r="F29" i="16"/>
  <c r="D30" i="16"/>
  <c r="G33" i="16"/>
  <c r="D31" i="16"/>
  <c r="D29" i="16"/>
  <c r="G31" i="16"/>
  <c r="C32" i="16"/>
  <c r="E29" i="16"/>
  <c r="E32" i="16"/>
  <c r="E31" i="16"/>
  <c r="F30" i="16"/>
  <c r="C31" i="16"/>
  <c r="C33" i="16"/>
  <c r="G44" i="13"/>
  <c r="F86" i="13"/>
  <c r="F87" i="13" s="1"/>
  <c r="E54" i="13"/>
  <c r="E58" i="13" s="1"/>
  <c r="E60" i="13" s="1"/>
  <c r="E62" i="13" s="1"/>
  <c r="I20" i="16" l="1"/>
  <c r="I22" i="16" s="1"/>
  <c r="B28" i="16" s="1"/>
  <c r="G86" i="13"/>
  <c r="G87" i="13" s="1"/>
  <c r="G54" i="13" s="1"/>
  <c r="G58" i="13" s="1"/>
  <c r="G60" i="13" s="1"/>
  <c r="G62" i="13" s="1"/>
  <c r="F54" i="13"/>
  <c r="F58" i="13" s="1"/>
  <c r="F60" i="13" s="1"/>
  <c r="F62" i="13" s="1"/>
</calcChain>
</file>

<file path=xl/sharedStrings.xml><?xml version="1.0" encoding="utf-8"?>
<sst xmlns="http://schemas.openxmlformats.org/spreadsheetml/2006/main" count="503" uniqueCount="289">
  <si>
    <t>COMPANY NAME</t>
  </si>
  <si>
    <t>INFOSYS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</si>
  <si>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</si>
  <si>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</si>
  <si>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</si>
  <si>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</si>
  <si>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</si>
  <si>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</si>
  <si>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</si>
  <si>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</si>
  <si>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</si>
  <si>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</si>
  <si>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</si>
  <si>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</si>
  <si>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</si>
  <si>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</si>
  <si>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</si>
  <si>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</si>
  <si>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</si>
  <si>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</si>
  <si>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</si>
  <si>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</si>
  <si>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</si>
  <si>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</si>
  <si>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</si>
  <si>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</si>
  <si>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</si>
  <si>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</si>
  <si>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</si>
  <si>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</si>
  <si>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</si>
  <si>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</si>
  <si>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</si>
  <si>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</si>
  <si>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</si>
  <si>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</si>
  <si>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</si>
  <si>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</si>
  <si>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</si>
  <si>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</si>
  <si>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</si>
  <si>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</si>
  <si>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</si>
  <si>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</si>
  <si>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</si>
  <si>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</si>
  <si>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</si>
  <si>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</si>
  <si>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</si>
  <si>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</si>
  <si>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</si>
  <si>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</si>
  <si>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</si>
  <si>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</si>
  <si>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Active Clients</t>
  </si>
  <si>
    <t>Mega Clients ($100M+ revenue)</t>
  </si>
  <si>
    <t>Total Headcount</t>
  </si>
  <si>
    <t>Large Clients ($50M+ revenue)</t>
  </si>
  <si>
    <t>Freshers Hired</t>
  </si>
  <si>
    <t>Onsite Mix</t>
  </si>
  <si>
    <t>R&amp;D Expenditure (Percentage of Turnover)</t>
  </si>
  <si>
    <t>Metric</t>
  </si>
  <si>
    <t>Utilization (Excluding Trainees) %</t>
  </si>
  <si>
    <t>Large Deal Total Contract Value (TCV)(USD Bn)</t>
  </si>
  <si>
    <t>Voluntary Attrition (LTM, IT Services)%</t>
  </si>
  <si>
    <t>Equity Capital</t>
  </si>
  <si>
    <t>Borrowings +</t>
  </si>
  <si>
    <t>Other Liabilities +</t>
  </si>
  <si>
    <t>Total Liabilities</t>
  </si>
  <si>
    <t>Fixed Assets +</t>
  </si>
  <si>
    <t>CWIP</t>
  </si>
  <si>
    <t>Other Assets -</t>
  </si>
  <si>
    <t>Trade receivables</t>
  </si>
  <si>
    <t>Cash Equivalents</t>
  </si>
  <si>
    <t>Loans n Advances</t>
  </si>
  <si>
    <t>Other asset items</t>
  </si>
  <si>
    <t>Total Assets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</si>
  <si>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</si>
  <si>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</si>
  <si>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</si>
  <si>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</si>
  <si>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</si>
  <si>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</si>
  <si>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</si>
  <si>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Investments purchased</t>
  </si>
  <si>
    <t>Investments sold</t>
  </si>
  <si>
    <t>Investment income</t>
  </si>
  <si>
    <t>Interest received</t>
  </si>
  <si>
    <t>Dividends received</t>
  </si>
  <si>
    <t>Invest in subsidiaries</t>
  </si>
  <si>
    <t>Loans to subsidiaries</t>
  </si>
  <si>
    <t>Redemp n Canc of Shares</t>
  </si>
  <si>
    <t>Acquisition of companies</t>
  </si>
  <si>
    <t>Other investing items</t>
  </si>
  <si>
    <t>Proceeds from shares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</si>
  <si>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</si>
  <si>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</si>
  <si>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</si>
  <si>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</si>
  <si>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</si>
  <si>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</si>
  <si>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 xml:space="preserve">Years 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</si>
  <si>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</si>
  <si>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</si>
  <si>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</si>
  <si>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</si>
  <si>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</si>
  <si>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</si>
  <si>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</si>
  <si>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</si>
  <si>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</si>
  <si>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</si>
  <si>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#</t>
  </si>
  <si>
    <t>Income Statement</t>
  </si>
  <si>
    <t>COGS</t>
  </si>
  <si>
    <t>in CR</t>
  </si>
  <si>
    <t>Sales Growth</t>
  </si>
  <si>
    <t>% of sales</t>
  </si>
  <si>
    <t>Gross Profit</t>
  </si>
  <si>
    <t>Gross margin</t>
  </si>
  <si>
    <t>SG&amp;A</t>
  </si>
  <si>
    <t>EBITDA</t>
  </si>
  <si>
    <t>PBT</t>
  </si>
  <si>
    <t>Effective rate</t>
  </si>
  <si>
    <t>Balance Sheet</t>
  </si>
  <si>
    <t>Total Liablities</t>
  </si>
  <si>
    <t>Fixed Assets</t>
  </si>
  <si>
    <t>Total Non Current Assets</t>
  </si>
  <si>
    <t>Loans and Advances</t>
  </si>
  <si>
    <t>Total Current Assets</t>
  </si>
  <si>
    <t>Total assets</t>
  </si>
  <si>
    <t>Check</t>
  </si>
  <si>
    <t>Cashflow Statement</t>
  </si>
  <si>
    <t>EBITDA Growth</t>
  </si>
  <si>
    <t>PBT Growth</t>
  </si>
  <si>
    <t>Net profit Growth</t>
  </si>
  <si>
    <t>Gross Margin</t>
  </si>
  <si>
    <t>EBITDA Margin</t>
  </si>
  <si>
    <t>PBT Margin</t>
  </si>
  <si>
    <t>Net Margin</t>
  </si>
  <si>
    <t>Sales Expenses as a % of sales</t>
  </si>
  <si>
    <t>Depreciation as a % of sales</t>
  </si>
  <si>
    <t>Operating income as a % of sales</t>
  </si>
  <si>
    <t>Return on Capital employed</t>
  </si>
  <si>
    <t>Retained Earnings</t>
  </si>
  <si>
    <t>ROE</t>
  </si>
  <si>
    <t>Sustainable Growth rate</t>
  </si>
  <si>
    <t>Interest Coverage ratio</t>
  </si>
  <si>
    <t>Creditor Turnover Ratio</t>
  </si>
  <si>
    <t>Inventory Turnover Ratio</t>
  </si>
  <si>
    <t>Fixed Assets Turnover Ratio</t>
  </si>
  <si>
    <t>DAYS ( Assuming 360 days)</t>
  </si>
  <si>
    <t>Debtor</t>
  </si>
  <si>
    <t>Creditors</t>
  </si>
  <si>
    <t>Cash Conversion Cycle</t>
  </si>
  <si>
    <t>CFO/Sales</t>
  </si>
  <si>
    <t>CFO/Total Assets</t>
  </si>
  <si>
    <t>CFO/Debt</t>
  </si>
  <si>
    <t>EBIT</t>
  </si>
  <si>
    <t>Equity and debt</t>
  </si>
  <si>
    <t>Dividend</t>
  </si>
  <si>
    <t>Dividend ratio</t>
  </si>
  <si>
    <t>Retention Ratio</t>
  </si>
  <si>
    <t>Debtor Turnover Ratio</t>
  </si>
  <si>
    <t>Trade payable</t>
  </si>
  <si>
    <t>Years</t>
  </si>
  <si>
    <t>FY16</t>
  </si>
  <si>
    <t>Year Weights</t>
  </si>
  <si>
    <t>Years (As on March)</t>
  </si>
  <si>
    <t>Revenue Drivers</t>
  </si>
  <si>
    <t>Large and Mega Client</t>
  </si>
  <si>
    <t>Other Client</t>
  </si>
  <si>
    <t>sales per Client</t>
  </si>
  <si>
    <t xml:space="preserve">Large &amp; mega Sales </t>
  </si>
  <si>
    <t>Other Client sales</t>
  </si>
  <si>
    <t>% of total client</t>
  </si>
  <si>
    <t>Growth</t>
  </si>
  <si>
    <t>Sales per Client for FY16</t>
  </si>
  <si>
    <t>Cost Driver</t>
  </si>
  <si>
    <t>TTM</t>
  </si>
  <si>
    <t>OPM %</t>
  </si>
  <si>
    <t>Tax %</t>
  </si>
  <si>
    <t>Sales +</t>
  </si>
  <si>
    <t>Expenses +</t>
  </si>
  <si>
    <t>Other Income +</t>
  </si>
  <si>
    <t>Net Profit +</t>
  </si>
  <si>
    <t>Head Count</t>
  </si>
  <si>
    <t>Avereage Employee cost\</t>
  </si>
  <si>
    <t>Avg employee cost</t>
  </si>
  <si>
    <t>Other COGS</t>
  </si>
  <si>
    <t>% growth</t>
  </si>
  <si>
    <t>FA turnover ratio</t>
  </si>
  <si>
    <t>borrowings</t>
  </si>
  <si>
    <t xml:space="preserve"> </t>
  </si>
  <si>
    <t>Others</t>
  </si>
  <si>
    <t>Divident ratio</t>
  </si>
  <si>
    <t>Gross profit</t>
  </si>
  <si>
    <t>Working Capital</t>
  </si>
  <si>
    <t>Trade recievbles</t>
  </si>
  <si>
    <t>Debtor days</t>
  </si>
  <si>
    <t>Trade payavbles</t>
  </si>
  <si>
    <t>Creditor Days</t>
  </si>
  <si>
    <t>Operating Activities</t>
  </si>
  <si>
    <t>Changes In the Working Capital</t>
  </si>
  <si>
    <t>Direct tax</t>
  </si>
  <si>
    <t>Cashflow from Operations</t>
  </si>
  <si>
    <t>Investing Activities</t>
  </si>
  <si>
    <t>New Capex</t>
  </si>
  <si>
    <t>Cashflow from Investing Activities</t>
  </si>
  <si>
    <t>Financing Activities</t>
  </si>
  <si>
    <t>New borrowings</t>
  </si>
  <si>
    <t>Cashflow from Financing Activities</t>
  </si>
  <si>
    <t>Net Change in Cash</t>
  </si>
  <si>
    <t>Opening Cash</t>
  </si>
  <si>
    <t>Closing Cash</t>
  </si>
  <si>
    <t>Trade payables</t>
  </si>
  <si>
    <t>Other liabilities</t>
  </si>
  <si>
    <t>Other Liabilities ( total)</t>
  </si>
  <si>
    <t>NOPAT</t>
  </si>
  <si>
    <t>CAPEX</t>
  </si>
  <si>
    <t>Changes in WC</t>
  </si>
  <si>
    <t>Free cash Flows</t>
  </si>
  <si>
    <t>FCF</t>
  </si>
  <si>
    <t>Terminal Value</t>
  </si>
  <si>
    <t>Cash inflow</t>
  </si>
  <si>
    <t>Exit Multiple</t>
  </si>
  <si>
    <t>PV of Cash Inflow</t>
  </si>
  <si>
    <t>PV of terminal Value</t>
  </si>
  <si>
    <t>D.F</t>
  </si>
  <si>
    <t>Enterprise value</t>
  </si>
  <si>
    <t>EV</t>
  </si>
  <si>
    <t>Debt</t>
  </si>
  <si>
    <t>Cash</t>
  </si>
  <si>
    <t xml:space="preserve">Equity </t>
  </si>
  <si>
    <t>Equity value</t>
  </si>
  <si>
    <t>No of shares</t>
  </si>
  <si>
    <t>Equity value per share</t>
  </si>
  <si>
    <t>Equity</t>
  </si>
  <si>
    <t>Amt</t>
  </si>
  <si>
    <t>Weight</t>
  </si>
  <si>
    <t>Cost</t>
  </si>
  <si>
    <t>Weighted avg</t>
  </si>
  <si>
    <t>Risk Free return</t>
  </si>
  <si>
    <t>Market return</t>
  </si>
  <si>
    <t>Beta</t>
  </si>
  <si>
    <t>Cost of equity</t>
  </si>
  <si>
    <t>Nifty returns</t>
  </si>
  <si>
    <t>Date</t>
  </si>
  <si>
    <t>Close</t>
  </si>
  <si>
    <t>Return</t>
  </si>
  <si>
    <t>Infosys Returns</t>
  </si>
  <si>
    <t>FCF FY31</t>
  </si>
  <si>
    <t>GDp growth</t>
  </si>
  <si>
    <t>WACC</t>
  </si>
  <si>
    <t>Pessmistic</t>
  </si>
  <si>
    <t>Base</t>
  </si>
  <si>
    <t>Optmistic</t>
  </si>
  <si>
    <t>Particulars</t>
  </si>
  <si>
    <t>GDP growth</t>
  </si>
  <si>
    <t>Choose</t>
  </si>
  <si>
    <t>Avg Employee cost</t>
  </si>
  <si>
    <t>Headcount</t>
  </si>
  <si>
    <t>Senstivity Analysis</t>
  </si>
  <si>
    <t xml:space="preserve">  </t>
  </si>
  <si>
    <t>Sales Per client</t>
  </si>
  <si>
    <t>Scenario</t>
  </si>
  <si>
    <t xml:space="preserve">Choose Base/Pessimistic/Optimistic Scenarios, the Financial model Updates automatially </t>
  </si>
  <si>
    <t>Infosys</t>
  </si>
  <si>
    <t>TCS</t>
  </si>
  <si>
    <t>HCL</t>
  </si>
  <si>
    <t>Wipro</t>
  </si>
  <si>
    <t>Market CAP</t>
  </si>
  <si>
    <t>EV/EBITDA</t>
  </si>
  <si>
    <t>Net margin</t>
  </si>
  <si>
    <t>Asset turnover</t>
  </si>
  <si>
    <t>Fin Lev</t>
  </si>
  <si>
    <t>Comparables</t>
  </si>
  <si>
    <t>SCENARIO</t>
  </si>
  <si>
    <t>Revenue</t>
  </si>
  <si>
    <t>CAGR</t>
  </si>
  <si>
    <t>Clients</t>
  </si>
  <si>
    <t>Large clients</t>
  </si>
  <si>
    <t>Other Clients</t>
  </si>
  <si>
    <t>Other clients</t>
  </si>
  <si>
    <t>Large clients ( &gt;50 M $)</t>
  </si>
  <si>
    <t>Revenue per employee</t>
  </si>
  <si>
    <t>Employee cost per employee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</si>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</sst>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&quot;₹&quot;\ #,##0.00;&quot;₹&quot;\ \-#,##0.00"/>
    <numFmt numFmtId="8" formatCode="&quot;₹&quot;\ #,##0.00;[Red]&quot;₹&quot;\ \-#,##0.00"/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0\ \(\A\)"/>
    <numFmt numFmtId="167" formatCode="0\ \(\F\)"/>
    <numFmt numFmtId="168" formatCode="0.000%"/>
    <numFmt numFmtId="169" formatCode="0.0%"/>
    <numFmt numFmtId="170" formatCode="0.00000"/>
    <numFmt numFmtId="171" formatCode="#,##0.00\x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2222F"/>
      <name val="Arial"/>
      <family val="2"/>
    </font>
    <font>
      <sz val="11"/>
      <color rgb="FF22222F"/>
      <name val="Aptos Narrow"/>
      <family val="2"/>
      <scheme val="minor"/>
    </font>
    <font>
      <b/>
      <sz val="11"/>
      <color rgb="FF606F7B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0" tint="-0.499984740745262"/>
      <name val="Aptos Narrow"/>
      <family val="2"/>
      <scheme val="minor"/>
    </font>
    <font>
      <sz val="11"/>
      <color rgb="FF3333FF"/>
      <name val="Aptos Narrow"/>
      <family val="2"/>
      <scheme val="minor"/>
    </font>
    <font>
      <b/>
      <i/>
      <sz val="11"/>
      <color rgb="FF00206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i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i/>
      <sz val="28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12">
    <xf numFmtId="0" fontId="0" fillId="0" borderId="0" xfId="0"/>
    <xf numFmtId="43" fontId="3" fillId="0" borderId="0" xfId="1" applyFont="1" applyBorder="1"/>
    <xf numFmtId="43" fontId="0" fillId="0" borderId="0" xfId="1" applyFont="1" applyBorder="1"/>
    <xf numFmtId="164" fontId="2" fillId="3" borderId="0" xfId="1" applyNumberFormat="1" applyFont="1" applyFill="1" applyBorder="1"/>
    <xf numFmtId="164" fontId="2" fillId="3" borderId="0" xfId="0" applyNumberFormat="1" applyFont="1" applyFill="1" applyAlignment="1">
      <alignment horizontal="center"/>
    </xf>
    <xf numFmtId="164" fontId="6" fillId="0" borderId="0" xfId="1" applyNumberFormat="1" applyFont="1" applyFill="1" applyBorder="1"/>
    <xf numFmtId="43" fontId="1" fillId="0" borderId="0" xfId="1" applyFont="1" applyBorder="1"/>
    <xf numFmtId="165" fontId="0" fillId="0" borderId="0" xfId="1" applyNumberFormat="1" applyFont="1" applyBorder="1"/>
    <xf numFmtId="3" fontId="0" fillId="0" borderId="0" xfId="0" applyNumberFormat="1"/>
    <xf numFmtId="17" fontId="0" fillId="0" borderId="0" xfId="0" applyNumberFormat="1"/>
    <xf numFmtId="0" fontId="0" fillId="4" borderId="0" xfId="0" applyFill="1"/>
    <xf numFmtId="0" fontId="7" fillId="4" borderId="0" xfId="0" applyFont="1" applyFill="1" applyAlignment="1">
      <alignment horizontal="right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 wrapText="1"/>
    </xf>
    <xf numFmtId="3" fontId="8" fillId="0" borderId="1" xfId="0" applyNumberFormat="1" applyFont="1" applyBorder="1" applyAlignment="1">
      <alignment horizontal="right" vertical="center" wrapText="1"/>
    </xf>
    <xf numFmtId="4" fontId="8" fillId="0" borderId="1" xfId="0" applyNumberFormat="1" applyFont="1" applyBorder="1" applyAlignment="1">
      <alignment vertical="center" wrapText="1"/>
    </xf>
    <xf numFmtId="0" fontId="3" fillId="0" borderId="1" xfId="0" applyFont="1" applyBorder="1"/>
    <xf numFmtId="17" fontId="9" fillId="0" borderId="1" xfId="0" applyNumberFormat="1" applyFont="1" applyBorder="1" applyAlignment="1">
      <alignment horizontal="right" vertical="center" wrapText="1"/>
    </xf>
    <xf numFmtId="3" fontId="7" fillId="4" borderId="0" xfId="0" applyNumberFormat="1" applyFont="1" applyFill="1" applyAlignment="1">
      <alignment horizontal="right" vertical="center" wrapText="1"/>
    </xf>
    <xf numFmtId="0" fontId="2" fillId="6" borderId="0" xfId="0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right"/>
    </xf>
    <xf numFmtId="0" fontId="3" fillId="0" borderId="0" xfId="0" applyFont="1"/>
    <xf numFmtId="0" fontId="10" fillId="0" borderId="0" xfId="0" applyFont="1"/>
    <xf numFmtId="0" fontId="10" fillId="7" borderId="0" xfId="0" applyFont="1" applyFill="1"/>
    <xf numFmtId="0" fontId="0" fillId="7" borderId="0" xfId="0" applyFill="1"/>
    <xf numFmtId="8" fontId="0" fillId="0" borderId="0" xfId="0" applyNumberFormat="1"/>
    <xf numFmtId="9" fontId="0" fillId="0" borderId="0" xfId="0" applyNumberFormat="1"/>
    <xf numFmtId="0" fontId="11" fillId="0" borderId="0" xfId="0" applyFont="1"/>
    <xf numFmtId="9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0" fontId="3" fillId="0" borderId="2" xfId="0" applyFont="1" applyBorder="1"/>
    <xf numFmtId="8" fontId="3" fillId="0" borderId="2" xfId="0" applyNumberFormat="1" applyFont="1" applyBorder="1"/>
    <xf numFmtId="7" fontId="0" fillId="0" borderId="0" xfId="0" applyNumberFormat="1"/>
    <xf numFmtId="7" fontId="3" fillId="0" borderId="2" xfId="0" applyNumberFormat="1" applyFont="1" applyBorder="1"/>
    <xf numFmtId="9" fontId="1" fillId="0" borderId="0" xfId="2" applyFont="1"/>
    <xf numFmtId="8" fontId="3" fillId="0" borderId="0" xfId="0" applyNumberFormat="1" applyFon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/>
    <xf numFmtId="9" fontId="0" fillId="0" borderId="0" xfId="0" applyNumberFormat="1" applyAlignment="1">
      <alignment horizontal="right"/>
    </xf>
    <xf numFmtId="0" fontId="2" fillId="6" borderId="0" xfId="0" applyFont="1" applyFill="1" applyAlignment="1">
      <alignment horizontal="left"/>
    </xf>
    <xf numFmtId="167" fontId="2" fillId="5" borderId="0" xfId="0" applyNumberFormat="1" applyFont="1" applyFill="1" applyAlignment="1">
      <alignment horizontal="right"/>
    </xf>
    <xf numFmtId="166" fontId="2" fillId="6" borderId="0" xfId="0" applyNumberFormat="1" applyFont="1" applyFill="1" applyAlignment="1">
      <alignment horizontal="right"/>
    </xf>
    <xf numFmtId="0" fontId="8" fillId="0" borderId="0" xfId="0" applyFont="1" applyAlignment="1">
      <alignment vertical="center"/>
    </xf>
    <xf numFmtId="0" fontId="11" fillId="8" borderId="0" xfId="0" applyFont="1" applyFill="1"/>
    <xf numFmtId="0" fontId="0" fillId="8" borderId="0" xfId="0" applyFill="1"/>
    <xf numFmtId="0" fontId="2" fillId="5" borderId="0" xfId="0" applyFont="1" applyFill="1" applyAlignment="1">
      <alignment horizontal="left"/>
    </xf>
    <xf numFmtId="0" fontId="14" fillId="7" borderId="0" xfId="0" applyFont="1" applyFill="1"/>
    <xf numFmtId="0" fontId="0" fillId="9" borderId="0" xfId="0" applyFill="1"/>
    <xf numFmtId="8" fontId="0" fillId="9" borderId="0" xfId="0" applyNumberFormat="1" applyFill="1"/>
    <xf numFmtId="3" fontId="0" fillId="9" borderId="0" xfId="0" applyNumberFormat="1" applyFill="1"/>
    <xf numFmtId="9" fontId="0" fillId="9" borderId="0" xfId="0" applyNumberFormat="1" applyFill="1"/>
    <xf numFmtId="9" fontId="11" fillId="9" borderId="0" xfId="0" applyNumberFormat="1" applyFont="1" applyFill="1"/>
    <xf numFmtId="8" fontId="3" fillId="9" borderId="0" xfId="0" applyNumberFormat="1" applyFont="1" applyFill="1"/>
    <xf numFmtId="4" fontId="0" fillId="9" borderId="0" xfId="0" applyNumberFormat="1" applyFill="1"/>
    <xf numFmtId="10" fontId="13" fillId="9" borderId="0" xfId="0" applyNumberFormat="1" applyFont="1" applyFill="1"/>
    <xf numFmtId="0" fontId="2" fillId="10" borderId="0" xfId="0" applyFont="1" applyFill="1" applyAlignment="1">
      <alignment horizontal="left"/>
    </xf>
    <xf numFmtId="167" fontId="2" fillId="10" borderId="0" xfId="0" applyNumberFormat="1" applyFont="1" applyFill="1" applyAlignment="1">
      <alignment horizontal="right"/>
    </xf>
    <xf numFmtId="0" fontId="0" fillId="0" borderId="1" xfId="0" applyBorder="1"/>
    <xf numFmtId="8" fontId="0" fillId="0" borderId="1" xfId="0" applyNumberFormat="1" applyBorder="1"/>
    <xf numFmtId="9" fontId="0" fillId="0" borderId="1" xfId="0" applyNumberFormat="1" applyBorder="1"/>
    <xf numFmtId="168" fontId="0" fillId="0" borderId="0" xfId="0" applyNumberFormat="1"/>
    <xf numFmtId="10" fontId="0" fillId="0" borderId="0" xfId="0" applyNumberFormat="1"/>
    <xf numFmtId="169" fontId="0" fillId="0" borderId="1" xfId="0" applyNumberFormat="1" applyBorder="1"/>
    <xf numFmtId="43" fontId="0" fillId="0" borderId="1" xfId="0" applyNumberFormat="1" applyBorder="1"/>
    <xf numFmtId="0" fontId="3" fillId="6" borderId="0" xfId="0" applyFont="1" applyFill="1"/>
    <xf numFmtId="8" fontId="3" fillId="6" borderId="0" xfId="0" applyNumberFormat="1" applyFont="1" applyFill="1"/>
    <xf numFmtId="0" fontId="0" fillId="6" borderId="0" xfId="0" applyFill="1"/>
    <xf numFmtId="0" fontId="3" fillId="0" borderId="0" xfId="0" applyFont="1" applyAlignment="1">
      <alignment horizontal="center"/>
    </xf>
    <xf numFmtId="167" fontId="2" fillId="0" borderId="0" xfId="0" applyNumberFormat="1" applyFont="1" applyAlignment="1">
      <alignment horizontal="right"/>
    </xf>
    <xf numFmtId="0" fontId="2" fillId="10" borderId="0" xfId="0" applyFont="1" applyFill="1" applyAlignment="1">
      <alignment horizontal="left" vertical="center"/>
    </xf>
    <xf numFmtId="167" fontId="2" fillId="10" borderId="0" xfId="0" applyNumberFormat="1" applyFont="1" applyFill="1" applyAlignment="1">
      <alignment horizontal="center"/>
    </xf>
    <xf numFmtId="15" fontId="0" fillId="0" borderId="0" xfId="0" applyNumberFormat="1"/>
    <xf numFmtId="4" fontId="0" fillId="0" borderId="1" xfId="0" applyNumberFormat="1" applyBorder="1"/>
    <xf numFmtId="9" fontId="3" fillId="0" borderId="1" xfId="0" applyNumberFormat="1" applyFont="1" applyBorder="1"/>
    <xf numFmtId="8" fontId="3" fillId="0" borderId="1" xfId="0" applyNumberFormat="1" applyFont="1" applyBorder="1"/>
    <xf numFmtId="9" fontId="13" fillId="0" borderId="1" xfId="0" applyNumberFormat="1" applyFont="1" applyBorder="1"/>
    <xf numFmtId="0" fontId="15" fillId="10" borderId="0" xfId="0" applyFont="1" applyFill="1" applyAlignment="1">
      <alignment horizontal="center"/>
    </xf>
    <xf numFmtId="0" fontId="2" fillId="5" borderId="0" xfId="0" applyFont="1" applyFill="1"/>
    <xf numFmtId="0" fontId="2" fillId="0" borderId="0" xfId="0" applyFont="1" applyAlignment="1">
      <alignment horizontal="center"/>
    </xf>
    <xf numFmtId="9" fontId="13" fillId="0" borderId="0" xfId="0" applyNumberFormat="1" applyFont="1"/>
    <xf numFmtId="10" fontId="13" fillId="0" borderId="0" xfId="0" applyNumberFormat="1" applyFont="1"/>
    <xf numFmtId="9" fontId="16" fillId="0" borderId="0" xfId="0" applyNumberFormat="1" applyFont="1"/>
    <xf numFmtId="8" fontId="2" fillId="10" borderId="1" xfId="0" applyNumberFormat="1" applyFont="1" applyFill="1" applyBorder="1"/>
    <xf numFmtId="9" fontId="2" fillId="10" borderId="1" xfId="0" applyNumberFormat="1" applyFont="1" applyFill="1" applyBorder="1"/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right"/>
    </xf>
    <xf numFmtId="0" fontId="2" fillId="5" borderId="0" xfId="0" applyFont="1" applyFill="1" applyAlignment="1">
      <alignment horizontal="center" vertical="center"/>
    </xf>
    <xf numFmtId="9" fontId="3" fillId="0" borderId="2" xfId="0" applyNumberFormat="1" applyFont="1" applyBorder="1"/>
    <xf numFmtId="170" fontId="0" fillId="0" borderId="0" xfId="0" applyNumberFormat="1"/>
    <xf numFmtId="171" fontId="3" fillId="0" borderId="2" xfId="0" applyNumberFormat="1" applyFont="1" applyBorder="1"/>
    <xf numFmtId="0" fontId="17" fillId="0" borderId="0" xfId="0" applyFont="1"/>
    <xf numFmtId="0" fontId="18" fillId="0" borderId="0" xfId="0" applyFont="1"/>
    <xf numFmtId="1" fontId="0" fillId="0" borderId="0" xfId="0" applyNumberFormat="1"/>
    <xf numFmtId="171" fontId="0" fillId="0" borderId="0" xfId="0" applyNumberFormat="1"/>
    <xf numFmtId="0" fontId="19" fillId="0" borderId="0" xfId="0" applyFont="1"/>
    <xf numFmtId="0" fontId="20" fillId="5" borderId="0" xfId="0" applyFont="1" applyFill="1"/>
    <xf numFmtId="0" fontId="21" fillId="0" borderId="0" xfId="0" applyFont="1"/>
    <xf numFmtId="0" fontId="22" fillId="0" borderId="0" xfId="0" applyFont="1"/>
    <xf numFmtId="0" fontId="2" fillId="0" borderId="0" xfId="0" applyFont="1" applyAlignment="1">
      <alignment horizontal="left"/>
    </xf>
    <xf numFmtId="166" fontId="2" fillId="0" borderId="0" xfId="0" applyNumberFormat="1" applyFont="1" applyAlignment="1">
      <alignment horizontal="right"/>
    </xf>
    <xf numFmtId="0" fontId="6" fillId="0" borderId="0" xfId="0" applyFont="1"/>
    <xf numFmtId="4" fontId="2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3" fillId="10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43" fontId="5" fillId="0" borderId="0" xfId="4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CLIENTS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FS!$B$17</c:f>
              <c:strCache>
                <c:ptCount val="1"/>
                <c:pt idx="0">
                  <c:v>Clients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FS!$C$16:$Q$16</c:f>
              <c:numCache>
                <c:formatCode>0\ \(\A\)</c:formatCod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 formatCode="0\ \(\F\)">
                  <c:v>2027</c:v>
                </c:pt>
                <c:pt idx="11" formatCode="0\ \(\F\)">
                  <c:v>2028</c:v>
                </c:pt>
                <c:pt idx="12" formatCode="0\ \(\F\)">
                  <c:v>2029</c:v>
                </c:pt>
                <c:pt idx="13" formatCode="0\ \(\F\)">
                  <c:v>2030</c:v>
                </c:pt>
                <c:pt idx="14" formatCode="0\ \(\F\)">
                  <c:v>2031</c:v>
                </c:pt>
              </c:numCache>
            </c:numRef>
          </c:cat>
          <c:val>
            <c:numRef>
              <c:f>FS!$C$17:$Q$17</c:f>
              <c:numCache>
                <c:formatCode>#,##0</c:formatCode>
                <c:ptCount val="15"/>
                <c:pt idx="0">
                  <c:v>1162</c:v>
                </c:pt>
                <c:pt idx="1">
                  <c:v>1204</c:v>
                </c:pt>
                <c:pt idx="2">
                  <c:v>1279</c:v>
                </c:pt>
                <c:pt idx="3">
                  <c:v>1411</c:v>
                </c:pt>
                <c:pt idx="4">
                  <c:v>1626</c:v>
                </c:pt>
                <c:pt idx="5">
                  <c:v>1741</c:v>
                </c:pt>
                <c:pt idx="6">
                  <c:v>1872</c:v>
                </c:pt>
                <c:pt idx="7">
                  <c:v>1882</c:v>
                </c:pt>
                <c:pt idx="8">
                  <c:v>1869</c:v>
                </c:pt>
                <c:pt idx="9">
                  <c:v>1965</c:v>
                </c:pt>
                <c:pt idx="10">
                  <c:v>2026.42728224351</c:v>
                </c:pt>
                <c:pt idx="11">
                  <c:v>2089.7748245398566</c:v>
                </c:pt>
                <c:pt idx="12">
                  <c:v>2155.1026555690637</c:v>
                </c:pt>
                <c:pt idx="13">
                  <c:v>2222.4726805499181</c:v>
                </c:pt>
                <c:pt idx="14">
                  <c:v>2291.9487399018926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3-4302-9A2C-7522522F5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683071"/>
        <c:axId val="2053529615"/>
      </c:lineChart>
      <c:catAx>
        <c:axId val="2024683071"/>
        <c:scaling>
          <c:orientation val="minMax"/>
        </c:scaling>
        <c:delete val="0"/>
        <c:axPos val="b"/>
        <c:numFmt formatCode="0\ \(\A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29615"/>
        <c:crosses val="autoZero"/>
        <c:auto val="1"/>
        <c:lblAlgn val="ctr"/>
        <c:lblOffset val="100"/>
        <c:noMultiLvlLbl val="0"/>
      </c:catAx>
      <c:valAx>
        <c:axId val="205352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8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1"/>
              <a:t>CLIENT</a:t>
            </a:r>
            <a:r>
              <a:rPr lang="en-IN" sz="2400" b="1" baseline="0"/>
              <a:t> COMPOSTITON</a:t>
            </a:r>
            <a:endParaRPr lang="en-IN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FS!$B$23</c:f>
              <c:strCache>
                <c:ptCount val="1"/>
                <c:pt idx="0">
                  <c:v>Other clients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FS!$C$22:$Q$22</c:f>
              <c:numCache>
                <c:formatCode>0\ \(\A\)</c:formatCod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 formatCode="0\ \(\F\)">
                  <c:v>2027</c:v>
                </c:pt>
                <c:pt idx="11" formatCode="0\ \(\F\)">
                  <c:v>2028</c:v>
                </c:pt>
                <c:pt idx="12" formatCode="0\ \(\F\)">
                  <c:v>2029</c:v>
                </c:pt>
                <c:pt idx="13" formatCode="0\ \(\F\)">
                  <c:v>2030</c:v>
                </c:pt>
                <c:pt idx="14" formatCode="0\ \(\F\)">
                  <c:v>2031</c:v>
                </c:pt>
              </c:numCache>
            </c:numRef>
          </c:cat>
          <c:val>
            <c:numRef>
              <c:f>FS!$C$23:$Q$23</c:f>
              <c:numCache>
                <c:formatCode>#,##0</c:formatCode>
                <c:ptCount val="15"/>
                <c:pt idx="0">
                  <c:v>1087</c:v>
                </c:pt>
                <c:pt idx="1">
                  <c:v>1127</c:v>
                </c:pt>
                <c:pt idx="2">
                  <c:v>1194</c:v>
                </c:pt>
                <c:pt idx="3">
                  <c:v>1383</c:v>
                </c:pt>
                <c:pt idx="4">
                  <c:v>1594</c:v>
                </c:pt>
                <c:pt idx="5">
                  <c:v>1703</c:v>
                </c:pt>
                <c:pt idx="6">
                  <c:v>1757</c:v>
                </c:pt>
                <c:pt idx="7">
                  <c:v>1759</c:v>
                </c:pt>
                <c:pt idx="8">
                  <c:v>1742</c:v>
                </c:pt>
                <c:pt idx="9">
                  <c:v>1832</c:v>
                </c:pt>
                <c:pt idx="10">
                  <c:v>1926.6498277841561</c:v>
                </c:pt>
                <c:pt idx="11">
                  <c:v>2026.1897155571608</c:v>
                </c:pt>
                <c:pt idx="12">
                  <c:v>2130.8723070612618</c:v>
                </c:pt>
                <c:pt idx="13">
                  <c:v>2240.963298815288</c:v>
                </c:pt>
                <c:pt idx="14">
                  <c:v>2356.7421144831274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3-4A93-83FC-8116C7A31136}"/>
            </c:ext>
          </c:extLst>
        </c:ser>
        <c:ser>
          <c:idx val="1"/>
          <c:order val="1"/>
          <c:tx>
            <c:strRef>
              <c:f>FS!$B$24</c:f>
              <c:strCache>
                <c:ptCount val="1"/>
                <c:pt idx="0">
                  <c:v>Large clients ( &gt;50 M 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FS!$C$22:$Q$22</c:f>
              <c:numCache>
                <c:formatCode>0\ \(\A\)</c:formatCod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 formatCode="0\ \(\F\)">
                  <c:v>2027</c:v>
                </c:pt>
                <c:pt idx="11" formatCode="0\ \(\F\)">
                  <c:v>2028</c:v>
                </c:pt>
                <c:pt idx="12" formatCode="0\ \(\F\)">
                  <c:v>2029</c:v>
                </c:pt>
                <c:pt idx="13" formatCode="0\ \(\F\)">
                  <c:v>2030</c:v>
                </c:pt>
                <c:pt idx="14" formatCode="0\ \(\F\)">
                  <c:v>2031</c:v>
                </c:pt>
              </c:numCache>
            </c:numRef>
          </c:cat>
          <c:val>
            <c:numRef>
              <c:f>FS!$C$24:$Q$24</c:f>
              <c:numCache>
                <c:formatCode>0</c:formatCode>
                <c:ptCount val="15"/>
                <c:pt idx="0">
                  <c:v>75</c:v>
                </c:pt>
                <c:pt idx="1">
                  <c:v>77</c:v>
                </c:pt>
                <c:pt idx="2">
                  <c:v>85</c:v>
                </c:pt>
                <c:pt idx="3">
                  <c:v>28</c:v>
                </c:pt>
                <c:pt idx="4">
                  <c:v>32</c:v>
                </c:pt>
                <c:pt idx="5">
                  <c:v>38</c:v>
                </c:pt>
                <c:pt idx="6">
                  <c:v>115</c:v>
                </c:pt>
                <c:pt idx="7">
                  <c:v>123</c:v>
                </c:pt>
                <c:pt idx="8">
                  <c:v>127</c:v>
                </c:pt>
                <c:pt idx="9">
                  <c:v>133</c:v>
                </c:pt>
                <c:pt idx="10">
                  <c:v>139.62028057733505</c:v>
                </c:pt>
                <c:pt idx="11">
                  <c:v>146.57009585333657</c:v>
                </c:pt>
                <c:pt idx="12">
                  <c:v>153.86584892699057</c:v>
                </c:pt>
                <c:pt idx="13">
                  <c:v>161.52475938688926</c:v>
                </c:pt>
                <c:pt idx="14">
                  <c:v>169.56490395326324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33-4A93-83FC-8116C7A31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4625999"/>
        <c:axId val="2053549775"/>
      </c:barChart>
      <c:catAx>
        <c:axId val="2024625999"/>
        <c:scaling>
          <c:orientation val="minMax"/>
        </c:scaling>
        <c:delete val="0"/>
        <c:axPos val="b"/>
        <c:numFmt formatCode="0\ \(\A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49775"/>
        <c:crosses val="autoZero"/>
        <c:auto val="1"/>
        <c:lblAlgn val="ctr"/>
        <c:lblOffset val="100"/>
        <c:noMultiLvlLbl val="0"/>
      </c:catAx>
      <c:valAx>
        <c:axId val="205354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2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FS!$B$29</c:f>
              <c:strCache>
                <c:ptCount val="1"/>
                <c:pt idx="0">
                  <c:v>EV/EBITDA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FS!$C$28:$F$28</c:f>
              <c:strCache>
                <c:ptCount val="4"/>
                <c:pt idx="0">
                  <c:v>Infosys</c:v>
                </c:pt>
                <c:pt idx="1">
                  <c:v>TCS</c:v>
                </c:pt>
                <c:pt idx="2">
                  <c:v>HCL</c:v>
                </c:pt>
                <c:pt idx="3">
                  <c:v>Wipro</c:v>
                </c:pt>
              </c:strCache>
            </c:strRef>
          </c:cat>
          <c:val>
            <c:numRef>
              <c:f>FS!$C$29:$F$29</c:f>
              <c:numCache>
                <c:formatCode>#,##0.00\x</c:formatCode>
                <c:ptCount val="4"/>
                <c:pt idx="0">
                  <c:v>12.752719018132341</c:v>
                </c:pt>
                <c:pt idx="1">
                  <c:v>11.686469849754991</c:v>
                </c:pt>
                <c:pt idx="2">
                  <c:v>20.703030658303536</c:v>
                </c:pt>
                <c:pt idx="3">
                  <c:v>10.599802317280764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7-4C09-BBD5-4F094BEF1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081631"/>
        <c:axId val="2053576655"/>
      </c:barChart>
      <c:catAx>
        <c:axId val="46108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76655"/>
        <c:crosses val="autoZero"/>
        <c:auto val="1"/>
        <c:lblAlgn val="ctr"/>
        <c:lblOffset val="100"/>
        <c:noMultiLvlLbl val="0"/>
      </c:catAx>
      <c:valAx>
        <c:axId val="205357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8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1"/>
              <a:t>Revenue</a:t>
            </a:r>
            <a:r>
              <a:rPr lang="en-IN" sz="2400" b="1" baseline="0"/>
              <a:t> &amp; EBITDA</a:t>
            </a:r>
            <a:endParaRPr lang="en-IN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FS!$B$12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FS!$C$11:$Q$11</c:f>
              <c:numCache>
                <c:formatCode>0\ \(\A\)</c:formatCod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 formatCode="0\ \(\F\)">
                  <c:v>2027</c:v>
                </c:pt>
                <c:pt idx="11" formatCode="0\ \(\F\)">
                  <c:v>2028</c:v>
                </c:pt>
                <c:pt idx="12" formatCode="0\ \(\F\)">
                  <c:v>2029</c:v>
                </c:pt>
                <c:pt idx="13" formatCode="0\ \(\F\)">
                  <c:v>2030</c:v>
                </c:pt>
                <c:pt idx="14" formatCode="0\ \(\F\)">
                  <c:v>2031</c:v>
                </c:pt>
              </c:numCache>
            </c:numRef>
          </c:cat>
          <c:val>
            <c:numRef>
              <c:f>FS!$C$12:$Q$12</c:f>
              <c:numCache>
                <c:formatCode>"₹"#,##0.00_);[Red]\("₹"#,##0.00\)</c:formatCode>
                <c:ptCount val="15"/>
                <c:pt idx="0">
                  <c:v>59289</c:v>
                </c:pt>
                <c:pt idx="1">
                  <c:v>61941</c:v>
                </c:pt>
                <c:pt idx="2">
                  <c:v>73107</c:v>
                </c:pt>
                <c:pt idx="3">
                  <c:v>79047</c:v>
                </c:pt>
                <c:pt idx="4">
                  <c:v>85912</c:v>
                </c:pt>
                <c:pt idx="5">
                  <c:v>103940</c:v>
                </c:pt>
                <c:pt idx="6">
                  <c:v>124014</c:v>
                </c:pt>
                <c:pt idx="7">
                  <c:v>128933</c:v>
                </c:pt>
                <c:pt idx="8">
                  <c:v>136592</c:v>
                </c:pt>
                <c:pt idx="9">
                  <c:v>148819</c:v>
                </c:pt>
                <c:pt idx="10">
                  <c:v>160489.87918099691</c:v>
                </c:pt>
                <c:pt idx="11">
                  <c:v>173076.0273858243</c:v>
                </c:pt>
                <c:pt idx="12">
                  <c:v>186649.22304462371</c:v>
                </c:pt>
                <c:pt idx="13">
                  <c:v>201286.8736899092</c:v>
                </c:pt>
                <c:pt idx="14">
                  <c:v>217072.45740943099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F-4DCA-A130-917888902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940575"/>
        <c:axId val="2053508975"/>
      </c:barChart>
      <c:lineChart>
        <c:grouping val="standard"/>
        <c:varyColors val="0"/>
        <c:ser>
          <c:idx val="1"/>
          <c:order val="1"/>
          <c:tx>
            <c:strRef>
              <c:f>FS!$B$13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FS!$C$11:$Q$11</c:f>
              <c:numCache>
                <c:formatCode>0\ \(\A\)</c:formatCod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 formatCode="0\ \(\F\)">
                  <c:v>2027</c:v>
                </c:pt>
                <c:pt idx="11" formatCode="0\ \(\F\)">
                  <c:v>2028</c:v>
                </c:pt>
                <c:pt idx="12" formatCode="0\ \(\F\)">
                  <c:v>2029</c:v>
                </c:pt>
                <c:pt idx="13" formatCode="0\ \(\F\)">
                  <c:v>2030</c:v>
                </c:pt>
                <c:pt idx="14" formatCode="0\ \(\F\)">
                  <c:v>2031</c:v>
                </c:pt>
              </c:numCache>
            </c:numRef>
          </c:cat>
          <c:val>
            <c:numRef>
              <c:f>FS!$C$13:$Q$13</c:f>
              <c:numCache>
                <c:formatCode>"₹"#,##0.00_);[Red]\("₹"#,##0.00\)</c:formatCode>
                <c:ptCount val="15"/>
                <c:pt idx="0">
                  <c:v>17207</c:v>
                </c:pt>
                <c:pt idx="1">
                  <c:v>17297</c:v>
                </c:pt>
                <c:pt idx="2">
                  <c:v>18674</c:v>
                </c:pt>
                <c:pt idx="3">
                  <c:v>20035</c:v>
                </c:pt>
                <c:pt idx="4">
                  <c:v>24457</c:v>
                </c:pt>
                <c:pt idx="5">
                  <c:v>27828</c:v>
                </c:pt>
                <c:pt idx="6">
                  <c:v>30694</c:v>
                </c:pt>
                <c:pt idx="7">
                  <c:v>31757</c:v>
                </c:pt>
                <c:pt idx="8">
                  <c:v>33499</c:v>
                </c:pt>
                <c:pt idx="9">
                  <c:v>36013</c:v>
                </c:pt>
                <c:pt idx="10">
                  <c:v>40040.062613578397</c:v>
                </c:pt>
                <c:pt idx="11">
                  <c:v>44084.081938649666</c:v>
                </c:pt>
                <c:pt idx="12">
                  <c:v>48485.544669750067</c:v>
                </c:pt>
                <c:pt idx="13">
                  <c:v>53273.59471455116</c:v>
                </c:pt>
                <c:pt idx="14">
                  <c:v>58479.606908678616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F-4DCA-A130-917888902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650127"/>
        <c:axId val="2053628495"/>
      </c:lineChart>
      <c:catAx>
        <c:axId val="460940575"/>
        <c:scaling>
          <c:orientation val="minMax"/>
        </c:scaling>
        <c:delete val="0"/>
        <c:axPos val="b"/>
        <c:numFmt formatCode="0\ \(\A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08975"/>
        <c:crosses val="autoZero"/>
        <c:auto val="1"/>
        <c:lblAlgn val="ctr"/>
        <c:lblOffset val="100"/>
        <c:noMultiLvlLbl val="0"/>
      </c:catAx>
      <c:valAx>
        <c:axId val="205350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40575"/>
        <c:crosses val="autoZero"/>
        <c:crossBetween val="between"/>
      </c:valAx>
      <c:valAx>
        <c:axId val="2053628495"/>
        <c:scaling>
          <c:orientation val="minMax"/>
          <c:max val="120000"/>
        </c:scaling>
        <c:delete val="0"/>
        <c:axPos val="r"/>
        <c:numFmt formatCode="&quot;₹&quot;#,##0_);[Red]\(&quot;₹&quot;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50127"/>
        <c:crosses val="max"/>
        <c:crossBetween val="between"/>
      </c:valAx>
      <c:catAx>
        <c:axId val="2024650127"/>
        <c:scaling>
          <c:orientation val="minMax"/>
        </c:scaling>
        <c:delete val="1"/>
        <c:axPos val="b"/>
        <c:numFmt formatCode="0\ \(\A\)" sourceLinked="1"/>
        <c:majorTickMark val="out"/>
        <c:minorTickMark val="none"/>
        <c:tickLblPos val="nextTo"/>
        <c:crossAx val="2053628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2400"/>
              <a:t>Revenue &amp; Employee cost per employee (indexed)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FS!$B$32</c:f>
              <c:strCache>
                <c:ptCount val="1"/>
                <c:pt idx="0">
                  <c:v>Revenue per employee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FS!$C$31:$Q$31</c:f>
              <c:numCache>
                <c:formatCode>0\ \(\A\)</c:formatCod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 formatCode="0\ \(\F\)">
                  <c:v>2027</c:v>
                </c:pt>
                <c:pt idx="11" formatCode="0\ \(\F\)">
                  <c:v>2028</c:v>
                </c:pt>
                <c:pt idx="12" formatCode="0\ \(\F\)">
                  <c:v>2029</c:v>
                </c:pt>
                <c:pt idx="13" formatCode="0\ \(\F\)">
                  <c:v>2030</c:v>
                </c:pt>
                <c:pt idx="14" formatCode="0\ \(\F\)">
                  <c:v>2031</c:v>
                </c:pt>
              </c:numCache>
            </c:numRef>
          </c:cat>
          <c:val>
            <c:numRef>
              <c:f>FS!$C$32:$Q$32</c:f>
              <c:numCache>
                <c:formatCode>#,##0</c:formatCode>
                <c:ptCount val="15"/>
                <c:pt idx="0">
                  <c:v>100</c:v>
                </c:pt>
                <c:pt idx="1">
                  <c:v>102.55713520835772</c:v>
                </c:pt>
                <c:pt idx="2">
                  <c:v>108.3017455111106</c:v>
                </c:pt>
                <c:pt idx="3">
                  <c:v>110.21743639618535</c:v>
                </c:pt>
                <c:pt idx="4">
                  <c:v>111.83118438195194</c:v>
                </c:pt>
                <c:pt idx="5">
                  <c:v>111.86079104712468</c:v>
                </c:pt>
                <c:pt idx="6">
                  <c:v>122.10290089255939</c:v>
                </c:pt>
                <c:pt idx="7">
                  <c:v>137.34780225995792</c:v>
                </c:pt>
                <c:pt idx="8">
                  <c:v>142.65659228250504</c:v>
                </c:pt>
                <c:pt idx="9">
                  <c:v>153.05387189104167</c:v>
                </c:pt>
                <c:pt idx="10">
                  <c:v>162.17977532352532</c:v>
                </c:pt>
                <c:pt idx="11">
                  <c:v>171.84981470258802</c:v>
                </c:pt>
                <c:pt idx="12">
                  <c:v>182.09643436982833</c:v>
                </c:pt>
                <c:pt idx="13">
                  <c:v>192.95401317477138</c:v>
                </c:pt>
                <c:pt idx="14">
                  <c:v>204.45897982074231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D6-4C31-B308-733637B347A5}"/>
            </c:ext>
          </c:extLst>
        </c:ser>
        <c:ser>
          <c:idx val="1"/>
          <c:order val="1"/>
          <c:tx>
            <c:strRef>
              <c:f>FS!$B$33</c:f>
              <c:strCache>
                <c:ptCount val="1"/>
                <c:pt idx="0">
                  <c:v>Employee cost per employee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FS!$C$31:$Q$31</c:f>
              <c:numCache>
                <c:formatCode>0\ \(\A\)</c:formatCod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 formatCode="0\ \(\F\)">
                  <c:v>2027</c:v>
                </c:pt>
                <c:pt idx="11" formatCode="0\ \(\F\)">
                  <c:v>2028</c:v>
                </c:pt>
                <c:pt idx="12" formatCode="0\ \(\F\)">
                  <c:v>2029</c:v>
                </c:pt>
                <c:pt idx="13" formatCode="0\ \(\F\)">
                  <c:v>2030</c:v>
                </c:pt>
                <c:pt idx="14" formatCode="0\ \(\F\)">
                  <c:v>2031</c:v>
                </c:pt>
              </c:numCache>
            </c:numRef>
          </c:cat>
          <c:val>
            <c:numRef>
              <c:f>FS!$C$33:$Q$33</c:f>
              <c:numCache>
                <c:formatCode>#,##0</c:formatCode>
                <c:ptCount val="15"/>
                <c:pt idx="0">
                  <c:v>100</c:v>
                </c:pt>
                <c:pt idx="1">
                  <c:v>103.01214668246858</c:v>
                </c:pt>
                <c:pt idx="2">
                  <c:v>108.68776587037034</c:v>
                </c:pt>
                <c:pt idx="3">
                  <c:v>113.35276853247419</c:v>
                </c:pt>
                <c:pt idx="4">
                  <c:v>112.66130028302695</c:v>
                </c:pt>
                <c:pt idx="5">
                  <c:v>106.52389471198522</c:v>
                </c:pt>
                <c:pt idx="6">
                  <c:v>118.39709251862938</c:v>
                </c:pt>
                <c:pt idx="7">
                  <c:v>132.94645255170121</c:v>
                </c:pt>
                <c:pt idx="8">
                  <c:v>135.00155655567687</c:v>
                </c:pt>
                <c:pt idx="9">
                  <c:v>144.31332930549465</c:v>
                </c:pt>
                <c:pt idx="10">
                  <c:v>150.40576418676289</c:v>
                </c:pt>
                <c:pt idx="11">
                  <c:v>156.75540166297591</c:v>
                </c:pt>
                <c:pt idx="12">
                  <c:v>163.37309998311554</c:v>
                </c:pt>
                <c:pt idx="13">
                  <c:v>170.27017579578029</c:v>
                </c:pt>
                <c:pt idx="14">
                  <c:v>177.45842350131215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D6-4C31-B308-733637B34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805551"/>
        <c:axId val="1903898735"/>
      </c:lineChart>
      <c:catAx>
        <c:axId val="1744805551"/>
        <c:scaling>
          <c:orientation val="minMax"/>
        </c:scaling>
        <c:delete val="0"/>
        <c:axPos val="b"/>
        <c:numFmt formatCode="0\ \(\A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98735"/>
        <c:crosses val="autoZero"/>
        <c:auto val="1"/>
        <c:lblAlgn val="ctr"/>
        <c:lblOffset val="100"/>
        <c:noMultiLvlLbl val="0"/>
      </c:catAx>
      <c:valAx>
        <c:axId val="190389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0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&amp; Employee cost per employee (indexed)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FS!$B$32</c:f>
              <c:strCache>
                <c:ptCount val="1"/>
                <c:pt idx="0">
                  <c:v>Revenue per employee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FS!$C$31:$Q$31</c:f>
              <c:numCache>
                <c:formatCode>0\ \(\A\)</c:formatCod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 formatCode="0\ \(\F\)">
                  <c:v>2027</c:v>
                </c:pt>
                <c:pt idx="11" formatCode="0\ \(\F\)">
                  <c:v>2028</c:v>
                </c:pt>
                <c:pt idx="12" formatCode="0\ \(\F\)">
                  <c:v>2029</c:v>
                </c:pt>
                <c:pt idx="13" formatCode="0\ \(\F\)">
                  <c:v>2030</c:v>
                </c:pt>
                <c:pt idx="14" formatCode="0\ \(\F\)">
                  <c:v>2031</c:v>
                </c:pt>
              </c:numCache>
            </c:numRef>
          </c:cat>
          <c:val>
            <c:numRef>
              <c:f>FS!$C$32:$Q$32</c:f>
              <c:numCache>
                <c:formatCode>#,##0</c:formatCode>
                <c:ptCount val="15"/>
                <c:pt idx="0">
                  <c:v>100</c:v>
                </c:pt>
                <c:pt idx="1">
                  <c:v>102.55713520835772</c:v>
                </c:pt>
                <c:pt idx="2">
                  <c:v>108.3017455111106</c:v>
                </c:pt>
                <c:pt idx="3">
                  <c:v>110.21743639618535</c:v>
                </c:pt>
                <c:pt idx="4">
                  <c:v>111.83118438195194</c:v>
                </c:pt>
                <c:pt idx="5">
                  <c:v>111.86079104712468</c:v>
                </c:pt>
                <c:pt idx="6">
                  <c:v>122.10290089255939</c:v>
                </c:pt>
                <c:pt idx="7">
                  <c:v>137.34780225995792</c:v>
                </c:pt>
                <c:pt idx="8">
                  <c:v>142.65659228250504</c:v>
                </c:pt>
                <c:pt idx="9">
                  <c:v>153.05387189104167</c:v>
                </c:pt>
                <c:pt idx="10">
                  <c:v>162.17977532352532</c:v>
                </c:pt>
                <c:pt idx="11">
                  <c:v>171.84981470258802</c:v>
                </c:pt>
                <c:pt idx="12">
                  <c:v>182.09643436982833</c:v>
                </c:pt>
                <c:pt idx="13">
                  <c:v>192.95401317477138</c:v>
                </c:pt>
                <c:pt idx="14">
                  <c:v>204.45897982074231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D-4310-85F5-93247FF68A1B}"/>
            </c:ext>
          </c:extLst>
        </c:ser>
        <c:ser>
          <c:idx val="1"/>
          <c:order val="1"/>
          <c:tx>
            <c:strRef>
              <c:f>FS!$B$33</c:f>
              <c:strCache>
                <c:ptCount val="1"/>
                <c:pt idx="0">
                  <c:v>Employee cost per employee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FS!$C$31:$Q$31</c:f>
              <c:numCache>
                <c:formatCode>0\ \(\A\)</c:formatCod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 formatCode="0\ \(\F\)">
                  <c:v>2027</c:v>
                </c:pt>
                <c:pt idx="11" formatCode="0\ \(\F\)">
                  <c:v>2028</c:v>
                </c:pt>
                <c:pt idx="12" formatCode="0\ \(\F\)">
                  <c:v>2029</c:v>
                </c:pt>
                <c:pt idx="13" formatCode="0\ \(\F\)">
                  <c:v>2030</c:v>
                </c:pt>
                <c:pt idx="14" formatCode="0\ \(\F\)">
                  <c:v>2031</c:v>
                </c:pt>
              </c:numCache>
            </c:numRef>
          </c:cat>
          <c:val>
            <c:numRef>
              <c:f>FS!$C$33:$Q$33</c:f>
              <c:numCache>
                <c:formatCode>#,##0</c:formatCode>
                <c:ptCount val="15"/>
                <c:pt idx="0">
                  <c:v>100</c:v>
                </c:pt>
                <c:pt idx="1">
                  <c:v>103.01214668246858</c:v>
                </c:pt>
                <c:pt idx="2">
                  <c:v>108.68776587037034</c:v>
                </c:pt>
                <c:pt idx="3">
                  <c:v>113.35276853247419</c:v>
                </c:pt>
                <c:pt idx="4">
                  <c:v>112.66130028302695</c:v>
                </c:pt>
                <c:pt idx="5">
                  <c:v>106.52389471198522</c:v>
                </c:pt>
                <c:pt idx="6">
                  <c:v>118.39709251862938</c:v>
                </c:pt>
                <c:pt idx="7">
                  <c:v>132.94645255170121</c:v>
                </c:pt>
                <c:pt idx="8">
                  <c:v>135.00155655567687</c:v>
                </c:pt>
                <c:pt idx="9">
                  <c:v>144.31332930549465</c:v>
                </c:pt>
                <c:pt idx="10">
                  <c:v>150.40576418676289</c:v>
                </c:pt>
                <c:pt idx="11">
                  <c:v>156.75540166297591</c:v>
                </c:pt>
                <c:pt idx="12">
                  <c:v>163.37309998311554</c:v>
                </c:pt>
                <c:pt idx="13">
                  <c:v>170.27017579578029</c:v>
                </c:pt>
                <c:pt idx="14">
                  <c:v>177.45842350131215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D-4310-85F5-93247FF68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805551"/>
        <c:axId val="1903898735"/>
      </c:lineChart>
      <c:catAx>
        <c:axId val="1744805551"/>
        <c:scaling>
          <c:orientation val="minMax"/>
        </c:scaling>
        <c:delete val="0"/>
        <c:axPos val="b"/>
        <c:numFmt formatCode="0\ \(\A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98735"/>
        <c:crosses val="autoZero"/>
        <c:auto val="1"/>
        <c:lblAlgn val="ctr"/>
        <c:lblOffset val="100"/>
        <c:noMultiLvlLbl val="0"/>
      </c:catAx>
      <c:valAx>
        <c:axId val="190389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0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166688</xdr:colOff>
      <xdr:row>4</xdr:row>
      <xdr:rowOff>177800</xdr:rowOff>
    </xdr:from>
    <xdr:to>
      <xdr:col>3</xdr:col>
      <xdr:colOff>117475</xdr:colOff>
      <xdr:row>9</xdr:row>
      <xdr:rowOff>26987</xdr:rowOff>
    </xdr:to>
    <xdr:sp macro="" textlink="'EV-EBITDA'!C14">
      <xdr:nvSpPr>
        <xdr:cNvPr id="2" name="Rectangle: Rounded Corners 1">
          <a:extLst>
            <a:ext uri="{FF2B5EF4-FFF2-40B4-BE49-F238E27FC236}">
              <a16:creationId xmlns:a16="http://schemas.microsoft.com/office/drawing/2014/main" id="{A3A54417-FCE3-1222-B511-DD9E71C1EE76}"/>
            </a:ext>
          </a:extLst>
        </xdr:cNvPr>
        <xdr:cNvSpPr/>
      </xdr:nvSpPr>
      <xdr:spPr>
        <a:xfrm>
          <a:off x="2871788" y="1282700"/>
          <a:ext cx="1614487" cy="801687"/>
        </a:xfrm>
        <a:prstGeom prst="round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9F4AB526-EC84-439C-8FCD-E4F4F4035A74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12.75x</a:t>
          </a:fld>
          <a:endParaRPr lang="en-IN" sz="3600"/>
        </a:p>
      </xdr:txBody>
    </xdr:sp>
    <xdr:clientData/>
  </xdr:twoCellAnchor>
  <xdr:oneCellAnchor>
    <xdr:from>
      <xdr:col>2</xdr:col>
      <xdr:colOff>182563</xdr:colOff>
      <xdr:row>9</xdr:row>
      <xdr:rowOff>38360</xdr:rowOff>
    </xdr:from>
    <xdr:ext cx="1595438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0D3FE3B-8BAB-19BF-F665-928E47466E83}"/>
            </a:ext>
          </a:extLst>
        </xdr:cNvPr>
        <xdr:cNvSpPr/>
      </xdr:nvSpPr>
      <xdr:spPr>
        <a:xfrm>
          <a:off x="2887663" y="2095760"/>
          <a:ext cx="1595438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EV/EBITDA</a:t>
          </a:r>
        </a:p>
      </xdr:txBody>
    </xdr:sp>
    <xdr:clientData/>
  </xdr:oneCellAnchor>
  <xdr:twoCellAnchor>
    <xdr:from>
      <xdr:col>3</xdr:col>
      <xdr:colOff>1549401</xdr:colOff>
      <xdr:row>4</xdr:row>
      <xdr:rowOff>169863</xdr:rowOff>
    </xdr:from>
    <xdr:to>
      <xdr:col>5</xdr:col>
      <xdr:colOff>536576</xdr:colOff>
      <xdr:row>9</xdr:row>
      <xdr:rowOff>19050</xdr:rowOff>
    </xdr:to>
    <xdr:sp macro="" textlink="FS!S3">
      <xdr:nvSpPr>
        <xdr:cNvPr id="4" name="Rectangle: Rounded Corners 3">
          <a:extLst>
            <a:ext uri="{FF2B5EF4-FFF2-40B4-BE49-F238E27FC236}">
              <a16:creationId xmlns:a16="http://schemas.microsoft.com/office/drawing/2014/main" id="{250F167A-F9A3-47A2-B3BA-0A259ED035F0}"/>
            </a:ext>
          </a:extLst>
        </xdr:cNvPr>
        <xdr:cNvSpPr/>
      </xdr:nvSpPr>
      <xdr:spPr>
        <a:xfrm>
          <a:off x="5041901" y="1274763"/>
          <a:ext cx="1616075" cy="801687"/>
        </a:xfrm>
        <a:prstGeom prst="round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71A9954-337C-45ED-920B-872F76FFA0ED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8%</a:t>
          </a:fld>
          <a:endParaRPr lang="en-IN" sz="8800" b="1"/>
        </a:p>
      </xdr:txBody>
    </xdr:sp>
    <xdr:clientData/>
  </xdr:twoCellAnchor>
  <xdr:oneCellAnchor>
    <xdr:from>
      <xdr:col>3</xdr:col>
      <xdr:colOff>1092199</xdr:colOff>
      <xdr:row>9</xdr:row>
      <xdr:rowOff>5023</xdr:rowOff>
    </xdr:from>
    <xdr:ext cx="2649537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1E86BC1-33C7-4BC0-94C4-6F7F22E3ED51}"/>
            </a:ext>
          </a:extLst>
        </xdr:cNvPr>
        <xdr:cNvSpPr/>
      </xdr:nvSpPr>
      <xdr:spPr>
        <a:xfrm>
          <a:off x="4584699" y="2062423"/>
          <a:ext cx="264953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Revenue</a:t>
          </a:r>
          <a:r>
            <a:rPr lang="en-US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CAGR (F) </a:t>
          </a:r>
          <a:endParaRPr lang="en-US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8</xdr:col>
      <xdr:colOff>431801</xdr:colOff>
      <xdr:row>4</xdr:row>
      <xdr:rowOff>144463</xdr:rowOff>
    </xdr:from>
    <xdr:to>
      <xdr:col>11</xdr:col>
      <xdr:colOff>219076</xdr:colOff>
      <xdr:row>8</xdr:row>
      <xdr:rowOff>184150</xdr:rowOff>
    </xdr:to>
    <xdr:sp macro="" textlink="FS!S7">
      <xdr:nvSpPr>
        <xdr:cNvPr id="10" name="Rectangle: Rounded Corners 9">
          <a:extLst>
            <a:ext uri="{FF2B5EF4-FFF2-40B4-BE49-F238E27FC236}">
              <a16:creationId xmlns:a16="http://schemas.microsoft.com/office/drawing/2014/main" id="{14083ECC-F141-4D85-B40C-494763F7AD18}"/>
            </a:ext>
          </a:extLst>
        </xdr:cNvPr>
        <xdr:cNvSpPr/>
      </xdr:nvSpPr>
      <xdr:spPr>
        <a:xfrm>
          <a:off x="9258301" y="1249363"/>
          <a:ext cx="1616075" cy="801687"/>
        </a:xfrm>
        <a:prstGeom prst="round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D78910EA-B727-4EFD-8FA5-2BD8000C2D11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10%</a:t>
          </a:fld>
          <a:endParaRPr lang="en-IN" sz="213200" b="1"/>
        </a:p>
      </xdr:txBody>
    </xdr:sp>
    <xdr:clientData/>
  </xdr:twoCellAnchor>
  <xdr:oneCellAnchor>
    <xdr:from>
      <xdr:col>7</xdr:col>
      <xdr:colOff>584199</xdr:colOff>
      <xdr:row>8</xdr:row>
      <xdr:rowOff>170123</xdr:rowOff>
    </xdr:from>
    <xdr:ext cx="2649537" cy="468013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8CA1F33-7D1B-4EBE-AEF7-6C65A56E42A9}"/>
            </a:ext>
          </a:extLst>
        </xdr:cNvPr>
        <xdr:cNvSpPr/>
      </xdr:nvSpPr>
      <xdr:spPr>
        <a:xfrm>
          <a:off x="8801099" y="2037023"/>
          <a:ext cx="264953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EBITDA CAGR (F) </a:t>
          </a:r>
          <a:endParaRPr lang="en-US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317500</xdr:colOff>
      <xdr:row>12</xdr:row>
      <xdr:rowOff>38100</xdr:rowOff>
    </xdr:from>
    <xdr:to>
      <xdr:col>12</xdr:col>
      <xdr:colOff>50800</xdr:colOff>
      <xdr:row>30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73DB1E-D86A-430C-8873-CDBB1D1AF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355600</xdr:colOff>
      <xdr:row>12</xdr:row>
      <xdr:rowOff>25400</xdr:rowOff>
    </xdr:from>
    <xdr:to>
      <xdr:col>31</xdr:col>
      <xdr:colOff>101600</xdr:colOff>
      <xdr:row>31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AC430B-4D67-431D-85D2-543A25E34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304801</xdr:colOff>
      <xdr:row>4</xdr:row>
      <xdr:rowOff>106363</xdr:rowOff>
    </xdr:from>
    <xdr:to>
      <xdr:col>18</xdr:col>
      <xdr:colOff>190500</xdr:colOff>
      <xdr:row>9</xdr:row>
      <xdr:rowOff>12700</xdr:rowOff>
    </xdr:to>
    <xdr:sp macro="" textlink="DCF!I22">
      <xdr:nvSpPr>
        <xdr:cNvPr id="8" name="Rectangle: Rounded Corners 7">
          <a:extLst>
            <a:ext uri="{FF2B5EF4-FFF2-40B4-BE49-F238E27FC236}">
              <a16:creationId xmlns:a16="http://schemas.microsoft.com/office/drawing/2014/main" id="{5D08163E-98DB-45A3-8D71-DE920348DBEB}"/>
            </a:ext>
          </a:extLst>
        </xdr:cNvPr>
        <xdr:cNvSpPr/>
      </xdr:nvSpPr>
      <xdr:spPr>
        <a:xfrm>
          <a:off x="12179301" y="1211263"/>
          <a:ext cx="2933699" cy="858837"/>
        </a:xfrm>
        <a:prstGeom prst="round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9A7CB54-B2E6-4891-8BC2-C7CF8D9135A3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₹ 1,389.75</a:t>
          </a:fld>
          <a:endParaRPr lang="en-IN" sz="400000" b="1"/>
        </a:p>
      </xdr:txBody>
    </xdr:sp>
    <xdr:clientData/>
  </xdr:twoCellAnchor>
  <xdr:oneCellAnchor>
    <xdr:from>
      <xdr:col>13</xdr:col>
      <xdr:colOff>76199</xdr:colOff>
      <xdr:row>9</xdr:row>
      <xdr:rowOff>5023</xdr:rowOff>
    </xdr:from>
    <xdr:ext cx="3492501" cy="468013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F63B5B8-B588-416F-A9FE-A2E35FD98CF5}"/>
            </a:ext>
          </a:extLst>
        </xdr:cNvPr>
        <xdr:cNvSpPr/>
      </xdr:nvSpPr>
      <xdr:spPr>
        <a:xfrm>
          <a:off x="11950699" y="2062423"/>
          <a:ext cx="3492501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Equity value per share (F) </a:t>
          </a:r>
          <a:endParaRPr lang="en-US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31</xdr:col>
      <xdr:colOff>508000</xdr:colOff>
      <xdr:row>12</xdr:row>
      <xdr:rowOff>15875</xdr:rowOff>
    </xdr:from>
    <xdr:to>
      <xdr:col>44</xdr:col>
      <xdr:colOff>63500</xdr:colOff>
      <xdr:row>31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4BD0DB2-A300-4803-96EB-FFF0FDE7B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253999</xdr:colOff>
      <xdr:row>32</xdr:row>
      <xdr:rowOff>190498</xdr:rowOff>
    </xdr:from>
    <xdr:to>
      <xdr:col>16</xdr:col>
      <xdr:colOff>0</xdr:colOff>
      <xdr:row>58</xdr:row>
      <xdr:rowOff>-1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F6E5459-09F7-49D6-8C5B-0DD6AB49A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174625</xdr:colOff>
      <xdr:row>33</xdr:row>
      <xdr:rowOff>47625</xdr:rowOff>
    </xdr:from>
    <xdr:to>
      <xdr:col>33</xdr:col>
      <xdr:colOff>492125</xdr:colOff>
      <xdr:row>57</xdr:row>
      <xdr:rowOff>174625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DEAF566-1FD0-45DA-A2C5-7D7A863C6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714375</xdr:colOff>
      <xdr:row>25</xdr:row>
      <xdr:rowOff>82550</xdr:rowOff>
    </xdr:from>
    <xdr:to>
      <xdr:col>13</xdr:col>
      <xdr:colOff>333375</xdr:colOff>
      <xdr:row>40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0BA37B-5854-BC3B-7B80-C5385221E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seindia.com/stockinfo/AnnPdfOpen.aspx?Pname=3ba3c011-0411-49ba-a250-f746a5b9d940.pdf" TargetMode="External"/><Relationship Id="rId3" Type="http://schemas.openxmlformats.org/officeDocument/2006/relationships/hyperlink" Target="https://www.bseindia.com/HIS_ANN_RPT/HISTANNR/2018/INFOSYS_LTD-500209-MARCH-2018.PDF" TargetMode="External"/><Relationship Id="rId7" Type="http://schemas.openxmlformats.org/officeDocument/2006/relationships/hyperlink" Target="https://www.bseindia.com/bseplus/AnnualReport/500209/73015500209_29_06_22.pdf" TargetMode="External"/><Relationship Id="rId2" Type="http://schemas.openxmlformats.org/officeDocument/2006/relationships/hyperlink" Target="https://www.bseindia.com/HIS_ANN_RPT/HISTANNR/2017/INFOSYS_LTD-500209-MARCH-2017.PDF" TargetMode="External"/><Relationship Id="rId1" Type="http://schemas.openxmlformats.org/officeDocument/2006/relationships/hyperlink" Target="https://www.bseindia.com/HIS_ANN_RPT/HISTANNR/2016/INFOSYS_LTD-500209-MARCH-2016.PDF" TargetMode="External"/><Relationship Id="rId6" Type="http://schemas.openxmlformats.org/officeDocument/2006/relationships/hyperlink" Target="https://www.infosys.com/investors/reports-filings/annual-report/annual/documents/infosys-ar-21.pdf" TargetMode="External"/><Relationship Id="rId5" Type="http://schemas.openxmlformats.org/officeDocument/2006/relationships/hyperlink" Target="https://www.bseindia.com/bseplus/AnnualReport/500209/5002090320.pdf" TargetMode="External"/><Relationship Id="rId10" Type="http://schemas.openxmlformats.org/officeDocument/2006/relationships/hyperlink" Target="https://www.bseindia.com/stockinfo/AnnPdfOpen.aspx?Pname=4527f4d2-dac4-4528-a1dc-5070fd9e140d.pdf" TargetMode="External"/><Relationship Id="rId4" Type="http://schemas.openxmlformats.org/officeDocument/2006/relationships/hyperlink" Target="https://www.bseindia.com/HIS_ANN_RPT/HISTANNR/2019/INFOSYS_LTD-500209-MARCH-2019.PDF" TargetMode="External"/><Relationship Id="rId9" Type="http://schemas.openxmlformats.org/officeDocument/2006/relationships/hyperlink" Target="https://www.bseindia.com/stockinfo/AnnPdfOpen.aspx?Pname=25cc7fbc-154b-4463-928d-c95f2d8c5c9c.pdf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seindia.com/bseplus/AnnualReport/500209/73015500209_29_06_22.pdf" TargetMode="External"/><Relationship Id="rId3" Type="http://schemas.openxmlformats.org/officeDocument/2006/relationships/hyperlink" Target="https://www.bseindia.com/HIS_ANN_RPT/HISTANNR/2017/INFOSYS_LTD-500209-MARCH-2017.PDF" TargetMode="External"/><Relationship Id="rId7" Type="http://schemas.openxmlformats.org/officeDocument/2006/relationships/hyperlink" Target="https://www.infosys.com/investors/reports-filings/annual-report/annual/documents/infosys-ar-21.pdf" TargetMode="External"/><Relationship Id="rId2" Type="http://schemas.openxmlformats.org/officeDocument/2006/relationships/hyperlink" Target="https://www.bseindia.com/HIS_ANN_RPT/HISTANNR/2016/INFOSYS_LTD-500209-MARCH-2016.PDF" TargetMode="External"/><Relationship Id="rId1" Type="http://schemas.openxmlformats.org/officeDocument/2006/relationships/hyperlink" Target="https://www.bseindia.com/HIS_ANN_RPT/HISTANNR/2015/INFOSYS_LTD-500209-MARCH-2015.PDF" TargetMode="External"/><Relationship Id="rId6" Type="http://schemas.openxmlformats.org/officeDocument/2006/relationships/hyperlink" Target="https://www.bseindia.com/bseplus/AnnualReport/500209/5002090320.pdf" TargetMode="External"/><Relationship Id="rId11" Type="http://schemas.openxmlformats.org/officeDocument/2006/relationships/hyperlink" Target="https://www.bseindia.com/stockinfo/AnnPdfOpen.aspx?Pname=4527f4d2-dac4-4528-a1dc-5070fd9e140d.pdf" TargetMode="External"/><Relationship Id="rId5" Type="http://schemas.openxmlformats.org/officeDocument/2006/relationships/hyperlink" Target="https://www.bseindia.com/HIS_ANN_RPT/HISTANNR/2019/INFOSYS_LTD-500209-MARCH-2019.PDF" TargetMode="External"/><Relationship Id="rId10" Type="http://schemas.openxmlformats.org/officeDocument/2006/relationships/hyperlink" Target="https://www.bseindia.com/stockinfo/AnnPdfOpen.aspx?Pname=25cc7fbc-154b-4463-928d-c95f2d8c5c9c.pdf" TargetMode="External"/><Relationship Id="rId4" Type="http://schemas.openxmlformats.org/officeDocument/2006/relationships/hyperlink" Target="https://www.bseindia.com/HIS_ANN_RPT/HISTANNR/2018/INFOSYS_LTD-500209-MARCH-2018.PDF" TargetMode="External"/><Relationship Id="rId9" Type="http://schemas.openxmlformats.org/officeDocument/2006/relationships/hyperlink" Target="https://www.bseindia.com/stockinfo/AnnPdfOpen.aspx?Pname=3ba3c011-0411-49ba-a250-f746a5b9d94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93E4-B119-4C77-86A2-5830E93ED723}">
  <dimension ref="A2:J4"/>
  <sheetViews>
    <sheetView showGridLines="0" zoomScale="40" zoomScaleNormal="40" workbookViewId="0">
      <selection activeCell="AN42" sqref="AN42"/>
    </sheetView>
  </sheetViews>
  <sheetFormatPr defaultRowHeight="14.5" x14ac:dyDescent="0.35"/>
  <cols>
    <col min="1" max="1" width="27.6328125" style="25" customWidth="1"/>
    <col min="3" max="3" width="23.7265625" customWidth="1"/>
    <col min="4" max="4" width="28.81640625" customWidth="1"/>
  </cols>
  <sheetData>
    <row r="2" spans="3:10" ht="37" x14ac:dyDescent="0.85">
      <c r="C2" s="97" t="s">
        <v>277</v>
      </c>
      <c r="D2" s="98" t="s">
        <v>255</v>
      </c>
      <c r="H2" s="81" t="s">
        <v>254</v>
      </c>
      <c r="I2" s="81" t="s">
        <v>255</v>
      </c>
      <c r="J2" s="81" t="s">
        <v>256</v>
      </c>
    </row>
    <row r="3" spans="3:10" ht="37" x14ac:dyDescent="0.85">
      <c r="C3" s="99" t="s">
        <v>266</v>
      </c>
      <c r="D3" s="100"/>
    </row>
    <row r="4" spans="3:10" ht="23.5" x14ac:dyDescent="0.55000000000000004">
      <c r="C4" s="93"/>
      <c r="D4" s="94"/>
    </row>
  </sheetData>
  <dataValidations count="1">
    <dataValidation type="list" allowBlank="1" showInputMessage="1" showErrorMessage="1" sqref="D2" xr:uid="{5AC53DC2-4BC6-465F-8239-78F26765C936}">
      <formula1>$H$2:$J$2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FAFC-2E9B-494F-BD2C-766364823675}">
  <dimension ref="B2:S37"/>
  <sheetViews>
    <sheetView topLeftCell="D25" workbookViewId="0">
      <selection activeCell="B31" sqref="B31:Q33"/>
    </sheetView>
  </sheetViews>
  <sheetFormatPr defaultRowHeight="14.5" x14ac:dyDescent="0.35"/>
  <cols>
    <col min="2" max="2" width="24" bestFit="1" customWidth="1"/>
    <col min="3" max="7" width="10.26953125" bestFit="1" customWidth="1"/>
    <col min="8" max="17" width="11.81640625" bestFit="1" customWidth="1"/>
  </cols>
  <sheetData>
    <row r="2" spans="2:19" x14ac:dyDescent="0.35">
      <c r="B2" s="42" t="s">
        <v>168</v>
      </c>
      <c r="C2" s="44">
        <v>2017</v>
      </c>
      <c r="D2" s="44">
        <f>C2+1</f>
        <v>2018</v>
      </c>
      <c r="E2" s="44">
        <f t="shared" ref="E2:Q2" si="0">D2+1</f>
        <v>2019</v>
      </c>
      <c r="F2" s="44">
        <f t="shared" si="0"/>
        <v>2020</v>
      </c>
      <c r="G2" s="44">
        <f t="shared" si="0"/>
        <v>2021</v>
      </c>
      <c r="H2" s="44">
        <f t="shared" si="0"/>
        <v>2022</v>
      </c>
      <c r="I2" s="44">
        <f t="shared" si="0"/>
        <v>2023</v>
      </c>
      <c r="J2" s="44">
        <f t="shared" si="0"/>
        <v>2024</v>
      </c>
      <c r="K2" s="44">
        <f t="shared" si="0"/>
        <v>2025</v>
      </c>
      <c r="L2" s="44">
        <f t="shared" si="0"/>
        <v>2026</v>
      </c>
      <c r="M2" s="43">
        <f t="shared" si="0"/>
        <v>2027</v>
      </c>
      <c r="N2" s="43">
        <f t="shared" si="0"/>
        <v>2028</v>
      </c>
      <c r="O2" s="43">
        <f t="shared" si="0"/>
        <v>2029</v>
      </c>
      <c r="P2" s="43">
        <f t="shared" si="0"/>
        <v>2030</v>
      </c>
      <c r="Q2" s="43">
        <f t="shared" si="0"/>
        <v>2031</v>
      </c>
      <c r="S2" t="s">
        <v>279</v>
      </c>
    </row>
    <row r="3" spans="2:19" x14ac:dyDescent="0.35">
      <c r="B3" t="s">
        <v>278</v>
      </c>
      <c r="C3" s="26">
        <f>'Forecast Drivers'!C7</f>
        <v>59289</v>
      </c>
      <c r="D3" s="26">
        <f>'Forecast Drivers'!D7</f>
        <v>61941</v>
      </c>
      <c r="E3" s="26">
        <f>'Forecast Drivers'!E7</f>
        <v>73107</v>
      </c>
      <c r="F3" s="26">
        <f>'Forecast Drivers'!F7</f>
        <v>79047</v>
      </c>
      <c r="G3" s="26">
        <f>'Forecast Drivers'!G7</f>
        <v>85912</v>
      </c>
      <c r="H3" s="26">
        <f>'Forecast Drivers'!H7</f>
        <v>103940</v>
      </c>
      <c r="I3" s="26">
        <f>'Forecast Drivers'!I7</f>
        <v>124014</v>
      </c>
      <c r="J3" s="26">
        <f>'Forecast Drivers'!J7</f>
        <v>128933</v>
      </c>
      <c r="K3" s="26">
        <f>'Forecast Drivers'!K7</f>
        <v>136592</v>
      </c>
      <c r="L3" s="26">
        <f>'Forecast Drivers'!L7</f>
        <v>148819</v>
      </c>
      <c r="M3" s="26">
        <f>'Forecast Drivers'!M7</f>
        <v>160489.87918099691</v>
      </c>
      <c r="N3" s="26">
        <f>'Forecast Drivers'!N7</f>
        <v>173076.0273858243</v>
      </c>
      <c r="O3" s="26">
        <f>'Forecast Drivers'!O7</f>
        <v>186649.22304462371</v>
      </c>
      <c r="P3" s="26">
        <f>'Forecast Drivers'!P7</f>
        <v>201286.8736899092</v>
      </c>
      <c r="Q3" s="26">
        <f>'Forecast Drivers'!Q7</f>
        <v>217072.45740943099</v>
      </c>
      <c r="S3" s="27">
        <f>_xlfn.RRI(5,L3,Q3)</f>
        <v>7.8423314099657304E-2</v>
      </c>
    </row>
    <row r="5" spans="2:19" x14ac:dyDescent="0.35">
      <c r="B5" t="s">
        <v>280</v>
      </c>
      <c r="C5" s="8">
        <f>'Forecast Drivers'!C9</f>
        <v>1162</v>
      </c>
      <c r="D5" s="8">
        <f>'Forecast Drivers'!D9</f>
        <v>1204</v>
      </c>
      <c r="E5" s="8">
        <f>'Forecast Drivers'!E9</f>
        <v>1279</v>
      </c>
      <c r="F5" s="8">
        <f>'Forecast Drivers'!F9</f>
        <v>1411</v>
      </c>
      <c r="G5" s="8">
        <f>'Forecast Drivers'!G9</f>
        <v>1626</v>
      </c>
      <c r="H5" s="8">
        <f>'Forecast Drivers'!H9</f>
        <v>1741</v>
      </c>
      <c r="I5" s="8">
        <f>'Forecast Drivers'!I9</f>
        <v>1872</v>
      </c>
      <c r="J5" s="8">
        <f>'Forecast Drivers'!J9</f>
        <v>1882</v>
      </c>
      <c r="K5" s="8">
        <f>'Forecast Drivers'!K9</f>
        <v>1869</v>
      </c>
      <c r="L5" s="8">
        <f>'Forecast Drivers'!L9</f>
        <v>1965</v>
      </c>
      <c r="M5" s="8">
        <f>'Forecast Drivers'!M9</f>
        <v>2026.42728224351</v>
      </c>
      <c r="N5" s="8">
        <f>'Forecast Drivers'!N9</f>
        <v>2089.7748245398566</v>
      </c>
      <c r="O5" s="8">
        <f>'Forecast Drivers'!O9</f>
        <v>2155.1026555690637</v>
      </c>
      <c r="P5" s="8">
        <f>'Forecast Drivers'!P9</f>
        <v>2222.4726805499181</v>
      </c>
      <c r="Q5" s="8">
        <f>'Forecast Drivers'!Q9</f>
        <v>2291.9487399018926</v>
      </c>
      <c r="S5" s="27">
        <f>_xlfn.RRI(5,L5,Q5)</f>
        <v>3.1260703431811754E-2</v>
      </c>
    </row>
    <row r="7" spans="2:19" x14ac:dyDescent="0.35">
      <c r="B7" t="s">
        <v>121</v>
      </c>
      <c r="C7" s="26">
        <f>'Forecast Drivers'!C7-'Forecast Drivers'!C32-'Forecast Drivers'!C47</f>
        <v>17207</v>
      </c>
      <c r="D7" s="26">
        <f>'Forecast Drivers'!D7-'Forecast Drivers'!D32-'Forecast Drivers'!D47</f>
        <v>17297</v>
      </c>
      <c r="E7" s="26">
        <f>'Forecast Drivers'!E7-'Forecast Drivers'!E32-'Forecast Drivers'!E47</f>
        <v>18674</v>
      </c>
      <c r="F7" s="26">
        <f>'Forecast Drivers'!F7-'Forecast Drivers'!F32-'Forecast Drivers'!F47</f>
        <v>20035</v>
      </c>
      <c r="G7" s="26">
        <f>'Forecast Drivers'!G7-'Forecast Drivers'!G32-'Forecast Drivers'!G47</f>
        <v>24457</v>
      </c>
      <c r="H7" s="26">
        <f>'Forecast Drivers'!H7-'Forecast Drivers'!H32-'Forecast Drivers'!H47</f>
        <v>27828</v>
      </c>
      <c r="I7" s="26">
        <f>'Forecast Drivers'!I7-'Forecast Drivers'!I32-'Forecast Drivers'!I47</f>
        <v>30694</v>
      </c>
      <c r="J7" s="26">
        <f>'Forecast Drivers'!J7-'Forecast Drivers'!J32-'Forecast Drivers'!J47</f>
        <v>31757</v>
      </c>
      <c r="K7" s="26">
        <f>'Forecast Drivers'!K7-'Forecast Drivers'!K32-'Forecast Drivers'!K47</f>
        <v>33499</v>
      </c>
      <c r="L7" s="26">
        <f>'Forecast Drivers'!L7-'Forecast Drivers'!L32-'Forecast Drivers'!L47</f>
        <v>36013</v>
      </c>
      <c r="M7" s="26">
        <f>'Forecast Drivers'!M7-'Forecast Drivers'!M32-'Forecast Drivers'!M47</f>
        <v>40040.062613578397</v>
      </c>
      <c r="N7" s="26">
        <f>'Forecast Drivers'!N7-'Forecast Drivers'!N32-'Forecast Drivers'!N47</f>
        <v>44084.081938649666</v>
      </c>
      <c r="O7" s="26">
        <f>'Forecast Drivers'!O7-'Forecast Drivers'!O32-'Forecast Drivers'!O47</f>
        <v>48485.544669750067</v>
      </c>
      <c r="P7" s="26">
        <f>'Forecast Drivers'!P7-'Forecast Drivers'!P32-'Forecast Drivers'!P47</f>
        <v>53273.59471455116</v>
      </c>
      <c r="Q7" s="26">
        <f>'Forecast Drivers'!Q7-'Forecast Drivers'!Q32-'Forecast Drivers'!Q47</f>
        <v>58479.606908678616</v>
      </c>
      <c r="S7" s="27">
        <f>_xlfn.RRI(5,L7,Q7)</f>
        <v>0.10181588343111869</v>
      </c>
    </row>
    <row r="11" spans="2:19" x14ac:dyDescent="0.35">
      <c r="B11" s="42" t="s">
        <v>168</v>
      </c>
      <c r="C11" s="44">
        <v>2017</v>
      </c>
      <c r="D11" s="44">
        <f>C11+1</f>
        <v>2018</v>
      </c>
      <c r="E11" s="44">
        <f t="shared" ref="E11" si="1">D11+1</f>
        <v>2019</v>
      </c>
      <c r="F11" s="44">
        <f t="shared" ref="F11" si="2">E11+1</f>
        <v>2020</v>
      </c>
      <c r="G11" s="44">
        <f t="shared" ref="G11" si="3">F11+1</f>
        <v>2021</v>
      </c>
      <c r="H11" s="44">
        <f t="shared" ref="H11" si="4">G11+1</f>
        <v>2022</v>
      </c>
      <c r="I11" s="44">
        <f t="shared" ref="I11" si="5">H11+1</f>
        <v>2023</v>
      </c>
      <c r="J11" s="44">
        <f t="shared" ref="J11" si="6">I11+1</f>
        <v>2024</v>
      </c>
      <c r="K11" s="44">
        <f t="shared" ref="K11" si="7">J11+1</f>
        <v>2025</v>
      </c>
      <c r="L11" s="44">
        <f t="shared" ref="L11" si="8">K11+1</f>
        <v>2026</v>
      </c>
      <c r="M11" s="43">
        <f t="shared" ref="M11" si="9">L11+1</f>
        <v>2027</v>
      </c>
      <c r="N11" s="43">
        <f t="shared" ref="N11" si="10">M11+1</f>
        <v>2028</v>
      </c>
      <c r="O11" s="43">
        <f t="shared" ref="O11" si="11">N11+1</f>
        <v>2029</v>
      </c>
      <c r="P11" s="43">
        <f t="shared" ref="P11" si="12">O11+1</f>
        <v>2030</v>
      </c>
      <c r="Q11" s="43">
        <f t="shared" ref="Q11" si="13">P11+1</f>
        <v>2031</v>
      </c>
    </row>
    <row r="12" spans="2:19" x14ac:dyDescent="0.35">
      <c r="B12" t="s">
        <v>278</v>
      </c>
      <c r="C12" s="26">
        <f>C3</f>
        <v>59289</v>
      </c>
      <c r="D12" s="26">
        <f t="shared" ref="D12:Q12" si="14">D3</f>
        <v>61941</v>
      </c>
      <c r="E12" s="26">
        <f t="shared" si="14"/>
        <v>73107</v>
      </c>
      <c r="F12" s="26">
        <f t="shared" si="14"/>
        <v>79047</v>
      </c>
      <c r="G12" s="26">
        <f t="shared" si="14"/>
        <v>85912</v>
      </c>
      <c r="H12" s="26">
        <f t="shared" si="14"/>
        <v>103940</v>
      </c>
      <c r="I12" s="26">
        <f t="shared" si="14"/>
        <v>124014</v>
      </c>
      <c r="J12" s="26">
        <f t="shared" si="14"/>
        <v>128933</v>
      </c>
      <c r="K12" s="26">
        <f t="shared" si="14"/>
        <v>136592</v>
      </c>
      <c r="L12" s="26">
        <f t="shared" si="14"/>
        <v>148819</v>
      </c>
      <c r="M12" s="26">
        <f t="shared" si="14"/>
        <v>160489.87918099691</v>
      </c>
      <c r="N12" s="26">
        <f t="shared" si="14"/>
        <v>173076.0273858243</v>
      </c>
      <c r="O12" s="26">
        <f t="shared" si="14"/>
        <v>186649.22304462371</v>
      </c>
      <c r="P12" s="26">
        <f t="shared" si="14"/>
        <v>201286.8736899092</v>
      </c>
      <c r="Q12" s="26">
        <f t="shared" si="14"/>
        <v>217072.45740943099</v>
      </c>
    </row>
    <row r="13" spans="2:19" x14ac:dyDescent="0.35">
      <c r="B13" t="s">
        <v>121</v>
      </c>
      <c r="C13" s="26">
        <f>C7</f>
        <v>17207</v>
      </c>
      <c r="D13" s="26">
        <f t="shared" ref="D13:Q13" si="15">D7</f>
        <v>17297</v>
      </c>
      <c r="E13" s="26">
        <f t="shared" si="15"/>
        <v>18674</v>
      </c>
      <c r="F13" s="26">
        <f t="shared" si="15"/>
        <v>20035</v>
      </c>
      <c r="G13" s="26">
        <f t="shared" si="15"/>
        <v>24457</v>
      </c>
      <c r="H13" s="26">
        <f t="shared" si="15"/>
        <v>27828</v>
      </c>
      <c r="I13" s="26">
        <f t="shared" si="15"/>
        <v>30694</v>
      </c>
      <c r="J13" s="26">
        <f t="shared" si="15"/>
        <v>31757</v>
      </c>
      <c r="K13" s="26">
        <f t="shared" si="15"/>
        <v>33499</v>
      </c>
      <c r="L13" s="26">
        <f t="shared" si="15"/>
        <v>36013</v>
      </c>
      <c r="M13" s="26">
        <f t="shared" si="15"/>
        <v>40040.062613578397</v>
      </c>
      <c r="N13" s="26">
        <f t="shared" si="15"/>
        <v>44084.081938649666</v>
      </c>
      <c r="O13" s="26">
        <f t="shared" si="15"/>
        <v>48485.544669750067</v>
      </c>
      <c r="P13" s="26">
        <f t="shared" si="15"/>
        <v>53273.59471455116</v>
      </c>
      <c r="Q13" s="26">
        <f t="shared" si="15"/>
        <v>58479.606908678616</v>
      </c>
    </row>
    <row r="16" spans="2:19" x14ac:dyDescent="0.35">
      <c r="B16" s="42" t="s">
        <v>168</v>
      </c>
      <c r="C16" s="44">
        <v>2017</v>
      </c>
      <c r="D16" s="44">
        <f>C16+1</f>
        <v>2018</v>
      </c>
      <c r="E16" s="44">
        <f t="shared" ref="E16" si="16">D16+1</f>
        <v>2019</v>
      </c>
      <c r="F16" s="44">
        <f t="shared" ref="F16" si="17">E16+1</f>
        <v>2020</v>
      </c>
      <c r="G16" s="44">
        <f t="shared" ref="G16" si="18">F16+1</f>
        <v>2021</v>
      </c>
      <c r="H16" s="44">
        <f t="shared" ref="H16" si="19">G16+1</f>
        <v>2022</v>
      </c>
      <c r="I16" s="44">
        <f t="shared" ref="I16" si="20">H16+1</f>
        <v>2023</v>
      </c>
      <c r="J16" s="44">
        <f t="shared" ref="J16" si="21">I16+1</f>
        <v>2024</v>
      </c>
      <c r="K16" s="44">
        <f t="shared" ref="K16" si="22">J16+1</f>
        <v>2025</v>
      </c>
      <c r="L16" s="44">
        <f t="shared" ref="L16" si="23">K16+1</f>
        <v>2026</v>
      </c>
      <c r="M16" s="43">
        <f t="shared" ref="M16" si="24">L16+1</f>
        <v>2027</v>
      </c>
      <c r="N16" s="43">
        <f t="shared" ref="N16" si="25">M16+1</f>
        <v>2028</v>
      </c>
      <c r="O16" s="43">
        <f t="shared" ref="O16" si="26">N16+1</f>
        <v>2029</v>
      </c>
      <c r="P16" s="43">
        <f t="shared" ref="P16" si="27">O16+1</f>
        <v>2030</v>
      </c>
      <c r="Q16" s="43">
        <f t="shared" ref="Q16" si="28">P16+1</f>
        <v>2031</v>
      </c>
    </row>
    <row r="17" spans="2:17" x14ac:dyDescent="0.35">
      <c r="B17" t="s">
        <v>280</v>
      </c>
      <c r="C17" s="8">
        <f>C5</f>
        <v>1162</v>
      </c>
      <c r="D17" s="8">
        <f t="shared" ref="D17:Q17" si="29">D5</f>
        <v>1204</v>
      </c>
      <c r="E17" s="8">
        <f t="shared" si="29"/>
        <v>1279</v>
      </c>
      <c r="F17" s="8">
        <f t="shared" si="29"/>
        <v>1411</v>
      </c>
      <c r="G17" s="8">
        <f t="shared" si="29"/>
        <v>1626</v>
      </c>
      <c r="H17" s="8">
        <f t="shared" si="29"/>
        <v>1741</v>
      </c>
      <c r="I17" s="8">
        <f t="shared" si="29"/>
        <v>1872</v>
      </c>
      <c r="J17" s="8">
        <f t="shared" si="29"/>
        <v>1882</v>
      </c>
      <c r="K17" s="8">
        <f t="shared" si="29"/>
        <v>1869</v>
      </c>
      <c r="L17" s="8">
        <f t="shared" si="29"/>
        <v>1965</v>
      </c>
      <c r="M17" s="8">
        <f t="shared" si="29"/>
        <v>2026.42728224351</v>
      </c>
      <c r="N17" s="8">
        <f t="shared" si="29"/>
        <v>2089.7748245398566</v>
      </c>
      <c r="O17" s="8">
        <f t="shared" si="29"/>
        <v>2155.1026555690637</v>
      </c>
      <c r="P17" s="8">
        <f t="shared" si="29"/>
        <v>2222.4726805499181</v>
      </c>
      <c r="Q17" s="8">
        <f t="shared" si="29"/>
        <v>2291.9487399018926</v>
      </c>
    </row>
    <row r="19" spans="2:17" x14ac:dyDescent="0.35">
      <c r="B19" s="42" t="s">
        <v>168</v>
      </c>
      <c r="C19" s="44">
        <v>2017</v>
      </c>
      <c r="D19" s="44">
        <f>C19+1</f>
        <v>2018</v>
      </c>
      <c r="E19" s="44">
        <f t="shared" ref="E19" si="30">D19+1</f>
        <v>2019</v>
      </c>
      <c r="F19" s="44">
        <f t="shared" ref="F19" si="31">E19+1</f>
        <v>2020</v>
      </c>
      <c r="G19" s="44">
        <f t="shared" ref="G19" si="32">F19+1</f>
        <v>2021</v>
      </c>
      <c r="H19" s="44">
        <f t="shared" ref="H19" si="33">G19+1</f>
        <v>2022</v>
      </c>
      <c r="I19" s="44">
        <f t="shared" ref="I19" si="34">H19+1</f>
        <v>2023</v>
      </c>
      <c r="J19" s="44">
        <f t="shared" ref="J19" si="35">I19+1</f>
        <v>2024</v>
      </c>
      <c r="K19" s="44">
        <f t="shared" ref="K19" si="36">J19+1</f>
        <v>2025</v>
      </c>
      <c r="L19" s="44">
        <f t="shared" ref="L19" si="37">K19+1</f>
        <v>2026</v>
      </c>
      <c r="M19" s="43">
        <f t="shared" ref="M19" si="38">L19+1</f>
        <v>2027</v>
      </c>
      <c r="N19" s="43">
        <f t="shared" ref="N19" si="39">M19+1</f>
        <v>2028</v>
      </c>
      <c r="O19" s="43">
        <f t="shared" ref="O19" si="40">N19+1</f>
        <v>2029</v>
      </c>
      <c r="P19" s="43">
        <f t="shared" ref="P19" si="41">O19+1</f>
        <v>2030</v>
      </c>
      <c r="Q19" s="43">
        <f t="shared" ref="Q19" si="42">P19+1</f>
        <v>2031</v>
      </c>
    </row>
    <row r="20" spans="2:17" x14ac:dyDescent="0.35">
      <c r="B20" t="s">
        <v>284</v>
      </c>
      <c r="C20" s="95">
        <f>'Forecast Drivers'!C16</f>
        <v>75</v>
      </c>
      <c r="D20" s="95">
        <f>'Forecast Drivers'!D16</f>
        <v>77</v>
      </c>
      <c r="E20" s="95">
        <f>'Forecast Drivers'!E16</f>
        <v>85</v>
      </c>
      <c r="F20" s="95">
        <f>'Forecast Drivers'!F16</f>
        <v>28</v>
      </c>
      <c r="G20" s="95">
        <f>'Forecast Drivers'!G16</f>
        <v>32</v>
      </c>
      <c r="H20" s="95">
        <f>'Forecast Drivers'!H16</f>
        <v>38</v>
      </c>
      <c r="I20" s="95">
        <f>'Forecast Drivers'!I16</f>
        <v>115</v>
      </c>
      <c r="J20" s="95">
        <f>'Forecast Drivers'!J16</f>
        <v>123</v>
      </c>
      <c r="K20" s="95">
        <f>'Forecast Drivers'!K16</f>
        <v>127</v>
      </c>
      <c r="L20" s="95">
        <f>'Forecast Drivers'!L16</f>
        <v>133</v>
      </c>
      <c r="M20" s="95">
        <f>'Forecast Drivers'!M16</f>
        <v>139.62028057733505</v>
      </c>
      <c r="N20" s="95">
        <f>'Forecast Drivers'!N16</f>
        <v>146.57009585333657</v>
      </c>
      <c r="O20" s="95">
        <f>'Forecast Drivers'!O16</f>
        <v>153.86584892699057</v>
      </c>
      <c r="P20" s="95">
        <f>'Forecast Drivers'!P16</f>
        <v>161.52475938688926</v>
      </c>
      <c r="Q20" s="95">
        <f>'Forecast Drivers'!Q16</f>
        <v>169.56490395326324</v>
      </c>
    </row>
    <row r="21" spans="2:17" x14ac:dyDescent="0.35"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</row>
    <row r="22" spans="2:17" x14ac:dyDescent="0.35">
      <c r="B22" s="42" t="s">
        <v>168</v>
      </c>
      <c r="C22" s="44">
        <v>2017</v>
      </c>
      <c r="D22" s="44">
        <f>C22+1</f>
        <v>2018</v>
      </c>
      <c r="E22" s="44">
        <f t="shared" ref="E22" si="43">D22+1</f>
        <v>2019</v>
      </c>
      <c r="F22" s="44">
        <f t="shared" ref="F22" si="44">E22+1</f>
        <v>2020</v>
      </c>
      <c r="G22" s="44">
        <f t="shared" ref="G22" si="45">F22+1</f>
        <v>2021</v>
      </c>
      <c r="H22" s="44">
        <f t="shared" ref="H22" si="46">G22+1</f>
        <v>2022</v>
      </c>
      <c r="I22" s="44">
        <f t="shared" ref="I22" si="47">H22+1</f>
        <v>2023</v>
      </c>
      <c r="J22" s="44">
        <f t="shared" ref="J22" si="48">I22+1</f>
        <v>2024</v>
      </c>
      <c r="K22" s="44">
        <f t="shared" ref="K22" si="49">J22+1</f>
        <v>2025</v>
      </c>
      <c r="L22" s="44">
        <f t="shared" ref="L22" si="50">K22+1</f>
        <v>2026</v>
      </c>
      <c r="M22" s="43">
        <f t="shared" ref="M22" si="51">L22+1</f>
        <v>2027</v>
      </c>
      <c r="N22" s="43">
        <f t="shared" ref="N22" si="52">M22+1</f>
        <v>2028</v>
      </c>
      <c r="O22" s="43">
        <f t="shared" ref="O22" si="53">N22+1</f>
        <v>2029</v>
      </c>
      <c r="P22" s="43">
        <f t="shared" ref="P22" si="54">O22+1</f>
        <v>2030</v>
      </c>
      <c r="Q22" s="43">
        <f t="shared" ref="Q22" si="55">P22+1</f>
        <v>2031</v>
      </c>
    </row>
    <row r="23" spans="2:17" x14ac:dyDescent="0.35">
      <c r="B23" t="s">
        <v>283</v>
      </c>
      <c r="C23" s="8">
        <f>'Forecast Drivers'!C23</f>
        <v>1087</v>
      </c>
      <c r="D23" s="8">
        <f>'Forecast Drivers'!D23</f>
        <v>1127</v>
      </c>
      <c r="E23" s="8">
        <f>'Forecast Drivers'!E23</f>
        <v>1194</v>
      </c>
      <c r="F23" s="8">
        <f>'Forecast Drivers'!F23</f>
        <v>1383</v>
      </c>
      <c r="G23" s="8">
        <f>'Forecast Drivers'!G23</f>
        <v>1594</v>
      </c>
      <c r="H23" s="8">
        <f>'Forecast Drivers'!H23</f>
        <v>1703</v>
      </c>
      <c r="I23" s="8">
        <f>'Forecast Drivers'!I23</f>
        <v>1757</v>
      </c>
      <c r="J23" s="8">
        <f>'Forecast Drivers'!J23</f>
        <v>1759</v>
      </c>
      <c r="K23" s="8">
        <f>'Forecast Drivers'!K23</f>
        <v>1742</v>
      </c>
      <c r="L23" s="8">
        <f>'Forecast Drivers'!L23</f>
        <v>1832</v>
      </c>
      <c r="M23" s="8">
        <f>'Forecast Drivers'!M23</f>
        <v>1926.6498277841561</v>
      </c>
      <c r="N23" s="8">
        <f>'Forecast Drivers'!N23</f>
        <v>2026.1897155571608</v>
      </c>
      <c r="O23" s="8">
        <f>'Forecast Drivers'!O23</f>
        <v>2130.8723070612618</v>
      </c>
      <c r="P23" s="8">
        <f>'Forecast Drivers'!P23</f>
        <v>2240.963298815288</v>
      </c>
      <c r="Q23" s="8">
        <f>'Forecast Drivers'!Q23</f>
        <v>2356.7421144831274</v>
      </c>
    </row>
    <row r="24" spans="2:17" x14ac:dyDescent="0.35">
      <c r="B24" t="s">
        <v>284</v>
      </c>
      <c r="C24" s="95">
        <f>C20</f>
        <v>75</v>
      </c>
      <c r="D24" s="95">
        <f t="shared" ref="D24:Q24" si="56">D20</f>
        <v>77</v>
      </c>
      <c r="E24" s="95">
        <f t="shared" si="56"/>
        <v>85</v>
      </c>
      <c r="F24" s="95">
        <f t="shared" si="56"/>
        <v>28</v>
      </c>
      <c r="G24" s="95">
        <f t="shared" si="56"/>
        <v>32</v>
      </c>
      <c r="H24" s="95">
        <f t="shared" si="56"/>
        <v>38</v>
      </c>
      <c r="I24" s="95">
        <f t="shared" si="56"/>
        <v>115</v>
      </c>
      <c r="J24" s="95">
        <f t="shared" si="56"/>
        <v>123</v>
      </c>
      <c r="K24" s="95">
        <f t="shared" si="56"/>
        <v>127</v>
      </c>
      <c r="L24" s="95">
        <f t="shared" si="56"/>
        <v>133</v>
      </c>
      <c r="M24" s="95">
        <f t="shared" si="56"/>
        <v>139.62028057733505</v>
      </c>
      <c r="N24" s="95">
        <f t="shared" si="56"/>
        <v>146.57009585333657</v>
      </c>
      <c r="O24" s="95">
        <f t="shared" si="56"/>
        <v>153.86584892699057</v>
      </c>
      <c r="P24" s="95">
        <f t="shared" si="56"/>
        <v>161.52475938688926</v>
      </c>
      <c r="Q24" s="95">
        <f t="shared" si="56"/>
        <v>169.56490395326324</v>
      </c>
    </row>
    <row r="28" spans="2:17" x14ac:dyDescent="0.35">
      <c r="B28" s="80" t="s">
        <v>257</v>
      </c>
      <c r="C28" s="89" t="s">
        <v>267</v>
      </c>
      <c r="D28" s="89" t="s">
        <v>268</v>
      </c>
      <c r="E28" s="89" t="s">
        <v>269</v>
      </c>
      <c r="F28" s="89" t="s">
        <v>270</v>
      </c>
    </row>
    <row r="29" spans="2:17" x14ac:dyDescent="0.35">
      <c r="B29" t="s">
        <v>272</v>
      </c>
      <c r="C29" s="96">
        <f>'EV-EBITDA'!C14</f>
        <v>12.752719018132341</v>
      </c>
      <c r="D29" s="96">
        <f>'EV-EBITDA'!D14</f>
        <v>11.686469849754991</v>
      </c>
      <c r="E29" s="96">
        <f>'EV-EBITDA'!E14</f>
        <v>20.703030658303536</v>
      </c>
      <c r="F29" s="96">
        <f>'EV-EBITDA'!F14</f>
        <v>10.599802317280764</v>
      </c>
    </row>
    <row r="31" spans="2:17" x14ac:dyDescent="0.35">
      <c r="B31" s="42" t="s">
        <v>168</v>
      </c>
      <c r="C31" s="44">
        <v>2017</v>
      </c>
      <c r="D31" s="44">
        <f>C31+1</f>
        <v>2018</v>
      </c>
      <c r="E31" s="44">
        <f t="shared" ref="E31" si="57">D31+1</f>
        <v>2019</v>
      </c>
      <c r="F31" s="44">
        <f t="shared" ref="F31" si="58">E31+1</f>
        <v>2020</v>
      </c>
      <c r="G31" s="44">
        <f t="shared" ref="G31" si="59">F31+1</f>
        <v>2021</v>
      </c>
      <c r="H31" s="44">
        <f t="shared" ref="H31" si="60">G31+1</f>
        <v>2022</v>
      </c>
      <c r="I31" s="44">
        <f t="shared" ref="I31" si="61">H31+1</f>
        <v>2023</v>
      </c>
      <c r="J31" s="44">
        <f t="shared" ref="J31" si="62">I31+1</f>
        <v>2024</v>
      </c>
      <c r="K31" s="44">
        <f t="shared" ref="K31" si="63">J31+1</f>
        <v>2025</v>
      </c>
      <c r="L31" s="44">
        <f t="shared" ref="L31" si="64">K31+1</f>
        <v>2026</v>
      </c>
      <c r="M31" s="43">
        <f t="shared" ref="M31" si="65">L31+1</f>
        <v>2027</v>
      </c>
      <c r="N31" s="43">
        <f t="shared" ref="N31" si="66">M31+1</f>
        <v>2028</v>
      </c>
      <c r="O31" s="43">
        <f t="shared" ref="O31" si="67">N31+1</f>
        <v>2029</v>
      </c>
      <c r="P31" s="43">
        <f t="shared" ref="P31" si="68">O31+1</f>
        <v>2030</v>
      </c>
      <c r="Q31" s="43">
        <f t="shared" ref="Q31" si="69">P31+1</f>
        <v>2031</v>
      </c>
    </row>
    <row r="32" spans="2:17" x14ac:dyDescent="0.35">
      <c r="B32" s="103" t="s">
        <v>285</v>
      </c>
      <c r="C32" s="105">
        <f t="shared" ref="C32:Q32" si="70">C36/$C$36*100</f>
        <v>100</v>
      </c>
      <c r="D32" s="105">
        <f t="shared" si="70"/>
        <v>102.55713520835772</v>
      </c>
      <c r="E32" s="105">
        <f t="shared" si="70"/>
        <v>108.3017455111106</v>
      </c>
      <c r="F32" s="105">
        <f t="shared" si="70"/>
        <v>110.21743639618535</v>
      </c>
      <c r="G32" s="105">
        <f t="shared" si="70"/>
        <v>111.83118438195194</v>
      </c>
      <c r="H32" s="105">
        <f t="shared" si="70"/>
        <v>111.86079104712468</v>
      </c>
      <c r="I32" s="105">
        <f t="shared" si="70"/>
        <v>122.10290089255939</v>
      </c>
      <c r="J32" s="105">
        <f t="shared" si="70"/>
        <v>137.34780225995792</v>
      </c>
      <c r="K32" s="105">
        <f t="shared" si="70"/>
        <v>142.65659228250504</v>
      </c>
      <c r="L32" s="105">
        <f t="shared" si="70"/>
        <v>153.05387189104167</v>
      </c>
      <c r="M32" s="105">
        <f t="shared" si="70"/>
        <v>162.17977532352532</v>
      </c>
      <c r="N32" s="105">
        <f t="shared" si="70"/>
        <v>171.84981470258802</v>
      </c>
      <c r="O32" s="105">
        <f t="shared" si="70"/>
        <v>182.09643436982833</v>
      </c>
      <c r="P32" s="105">
        <f t="shared" si="70"/>
        <v>192.95401317477138</v>
      </c>
      <c r="Q32" s="105">
        <f t="shared" si="70"/>
        <v>204.45897982074231</v>
      </c>
    </row>
    <row r="33" spans="2:17" x14ac:dyDescent="0.35">
      <c r="B33" s="103" t="s">
        <v>286</v>
      </c>
      <c r="C33" s="105">
        <f>C37/$C$37*100</f>
        <v>100</v>
      </c>
      <c r="D33" s="105">
        <f t="shared" ref="D33:Q33" si="71">D37/$C$37*100</f>
        <v>103.01214668246858</v>
      </c>
      <c r="E33" s="105">
        <f t="shared" si="71"/>
        <v>108.68776587037034</v>
      </c>
      <c r="F33" s="105">
        <f t="shared" si="71"/>
        <v>113.35276853247419</v>
      </c>
      <c r="G33" s="105">
        <f t="shared" si="71"/>
        <v>112.66130028302695</v>
      </c>
      <c r="H33" s="105">
        <f t="shared" si="71"/>
        <v>106.52389471198522</v>
      </c>
      <c r="I33" s="105">
        <f t="shared" si="71"/>
        <v>118.39709251862938</v>
      </c>
      <c r="J33" s="105">
        <f t="shared" si="71"/>
        <v>132.94645255170121</v>
      </c>
      <c r="K33" s="105">
        <f t="shared" si="71"/>
        <v>135.00155655567687</v>
      </c>
      <c r="L33" s="105">
        <f t="shared" si="71"/>
        <v>144.31332930549465</v>
      </c>
      <c r="M33" s="105">
        <f t="shared" si="71"/>
        <v>150.40576418676289</v>
      </c>
      <c r="N33" s="105">
        <f t="shared" si="71"/>
        <v>156.75540166297591</v>
      </c>
      <c r="O33" s="105">
        <f t="shared" si="71"/>
        <v>163.37309998311554</v>
      </c>
      <c r="P33" s="105">
        <f t="shared" si="71"/>
        <v>170.27017579578029</v>
      </c>
      <c r="Q33" s="105">
        <f t="shared" si="71"/>
        <v>177.45842350131215</v>
      </c>
    </row>
    <row r="34" spans="2:17" x14ac:dyDescent="0.35">
      <c r="B34" s="101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</row>
    <row r="35" spans="2:17" x14ac:dyDescent="0.35">
      <c r="B35" s="101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71"/>
      <c r="N35" s="71"/>
      <c r="O35" s="71"/>
      <c r="P35" s="71"/>
      <c r="Q35" s="71"/>
    </row>
    <row r="36" spans="2:17" x14ac:dyDescent="0.35">
      <c r="B36" t="s">
        <v>285</v>
      </c>
      <c r="C36" s="26">
        <f>'Forecast Drivers'!C7/'Forecast Drivers'!C36</f>
        <v>0.29590645026052587</v>
      </c>
      <c r="D36" s="26">
        <f>'Forecast Drivers'!D7/'Forecast Drivers'!D36</f>
        <v>0.30347317828393933</v>
      </c>
      <c r="E36" s="26">
        <f>'Forecast Drivers'!E7/'Forecast Drivers'!E36</f>
        <v>0.32047185071211581</v>
      </c>
      <c r="F36" s="26">
        <f>'Forecast Drivers'!F7/'Forecast Drivers'!F36</f>
        <v>0.32614050360810493</v>
      </c>
      <c r="G36" s="26">
        <f>'Forecast Drivers'!G7/'Forecast Drivers'!G36</f>
        <v>0.33091568798893761</v>
      </c>
      <c r="H36" s="26">
        <f>'Forecast Drivers'!H7/'Forecast Drivers'!H36</f>
        <v>0.33100329602089074</v>
      </c>
      <c r="I36" s="26">
        <f>'Forecast Drivers'!I7/'Forecast Drivers'!I36</f>
        <v>0.36131035969630049</v>
      </c>
      <c r="J36" s="26">
        <f>'Forecast Drivers'!J7/'Forecast Drivers'!J36</f>
        <v>0.40642100617828775</v>
      </c>
      <c r="K36" s="26">
        <f>'Forecast Drivers'!K7/'Forecast Drivers'!K36</f>
        <v>0.42213005828579198</v>
      </c>
      <c r="L36" s="26">
        <f>'Forecast Drivers'!L7/'Forecast Drivers'!L36</f>
        <v>0.45289627929907422</v>
      </c>
      <c r="M36" s="26">
        <f>'Forecast Drivers'!M7/'Forecast Drivers'!M36</f>
        <v>0.47990041620034007</v>
      </c>
      <c r="N36" s="26">
        <f>'Forecast Drivers'!N7/'Forecast Drivers'!N36</f>
        <v>0.50851468646571951</v>
      </c>
      <c r="O36" s="26">
        <f>'Forecast Drivers'!O7/'Forecast Drivers'!O36</f>
        <v>0.53883509499474713</v>
      </c>
      <c r="P36" s="26">
        <f>'Forecast Drivers'!P7/'Forecast Drivers'!P36</f>
        <v>0.57096337102069339</v>
      </c>
      <c r="Q36" s="26">
        <f>'Forecast Drivers'!Q7/'Forecast Drivers'!Q36</f>
        <v>0.60500730942644343</v>
      </c>
    </row>
    <row r="37" spans="2:17" x14ac:dyDescent="0.35">
      <c r="B37" t="s">
        <v>286</v>
      </c>
      <c r="C37" s="26">
        <f>'Forecast Drivers'!C39</f>
        <v>0.15448383941226967</v>
      </c>
      <c r="D37" s="26">
        <f>'Forecast Drivers'!D39</f>
        <v>0.15913711925607646</v>
      </c>
      <c r="E37" s="26">
        <f>'Forecast Drivers'!E39</f>
        <v>0.16790503368796658</v>
      </c>
      <c r="F37" s="26">
        <f>'Forecast Drivers'!F39</f>
        <v>0.17511170890906916</v>
      </c>
      <c r="G37" s="26">
        <f>'Forecast Drivers'!G39</f>
        <v>0.17404350220900627</v>
      </c>
      <c r="H37" s="26">
        <f>'Forecast Drivers'!H39</f>
        <v>0.16456220244255848</v>
      </c>
      <c r="I37" s="26">
        <f>'Forecast Drivers'!I39</f>
        <v>0.18290437427527576</v>
      </c>
      <c r="J37" s="26">
        <f>'Forecast Drivers'!J39</f>
        <v>0.20538078426427941</v>
      </c>
      <c r="K37" s="26">
        <f>'Forecast Drivers'!K39</f>
        <v>0.20855558783353628</v>
      </c>
      <c r="L37" s="26">
        <f>'Forecast Drivers'!L39</f>
        <v>0.22294077189480027</v>
      </c>
      <c r="M37" s="26">
        <f>'Forecast Drivers'!M39</f>
        <v>0.2323525992130758</v>
      </c>
      <c r="N37" s="26">
        <f>'Forecast Drivers'!N39</f>
        <v>0.24216176297509001</v>
      </c>
      <c r="O37" s="26">
        <f>'Forecast Drivers'!O39</f>
        <v>0.25238503742076296</v>
      </c>
      <c r="P37" s="26">
        <f>'Forecast Drivers'!P39</f>
        <v>0.26303990494334251</v>
      </c>
      <c r="Q37" s="26">
        <f>'Forecast Drivers'!Q39</f>
        <v>0.27414458598531249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5606-73BF-43AF-B749-A9823A5668CA}">
  <sheetPr>
    <tabColor rgb="FF92D050"/>
  </sheetPr>
  <dimension ref="A1"/>
  <sheetViews>
    <sheetView showGridLines="0" workbookViewId="0">
      <selection activeCell="B2" sqref="B2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A6A3-6610-4748-809B-AECAAD01A441}">
  <dimension ref="A1:L78"/>
  <sheetViews>
    <sheetView showGridLines="0" topLeftCell="A2" workbookViewId="0">
      <pane xSplit="1" ySplit="2" topLeftCell="B4" activePane="bottomRight" state="frozen"/>
      <selection activeCell="A2" sqref="A2"/>
      <selection pane="topRight" activeCell="B2" sqref="B2"/>
      <selection pane="bottomLeft" activeCell="A4" sqref="A4"/>
      <selection pane="bottomRight" activeCell="B17" sqref="B17"/>
    </sheetView>
  </sheetViews>
  <sheetFormatPr defaultRowHeight="14.5" x14ac:dyDescent="0.35"/>
  <cols>
    <col min="1" max="1" width="2.453125" customWidth="1"/>
    <col min="2" max="2" width="44.7265625" customWidth="1"/>
    <col min="3" max="6" width="10.90625" bestFit="1" customWidth="1"/>
    <col min="7" max="7" width="10.26953125" bestFit="1" customWidth="1"/>
    <col min="8" max="12" width="11.81640625" bestFit="1" customWidth="1"/>
  </cols>
  <sheetData>
    <row r="1" spans="1:12" x14ac:dyDescent="0.35">
      <c r="L1" s="22" t="s">
        <v>115</v>
      </c>
    </row>
    <row r="2" spans="1:12" x14ac:dyDescent="0.35">
      <c r="B2" s="107" t="str">
        <f>'DATA Sheet'!B1&amp;" Historical FS"</f>
        <v>INFOSYS LTD Historical FS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x14ac:dyDescent="0.35">
      <c r="B3" s="20" t="s">
        <v>101</v>
      </c>
      <c r="C3" s="21" t="s">
        <v>102</v>
      </c>
      <c r="D3" s="21" t="s">
        <v>103</v>
      </c>
      <c r="E3" s="21" t="s">
        <v>104</v>
      </c>
      <c r="F3" s="21" t="s">
        <v>105</v>
      </c>
      <c r="G3" s="21" t="s">
        <v>106</v>
      </c>
      <c r="H3" s="21" t="s">
        <v>107</v>
      </c>
      <c r="I3" s="21" t="s">
        <v>108</v>
      </c>
      <c r="J3" s="21" t="s">
        <v>109</v>
      </c>
      <c r="K3" s="21" t="s">
        <v>110</v>
      </c>
      <c r="L3" s="21" t="s">
        <v>111</v>
      </c>
    </row>
    <row r="4" spans="1:12" x14ac:dyDescent="0.35">
      <c r="A4" t="s">
        <v>112</v>
      </c>
      <c r="B4" s="24" t="s">
        <v>113</v>
      </c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 x14ac:dyDescent="0.35">
      <c r="B5" t="s">
        <v>12</v>
      </c>
      <c r="C5" s="26">
        <f>'DATA Sheet'!B17</f>
        <v>59289</v>
      </c>
      <c r="D5" s="26">
        <f>'DATA Sheet'!C17</f>
        <v>61941</v>
      </c>
      <c r="E5" s="26">
        <f>'DATA Sheet'!D17</f>
        <v>73107</v>
      </c>
      <c r="F5" s="26">
        <f>'DATA Sheet'!E17</f>
        <v>79047</v>
      </c>
      <c r="G5" s="26">
        <f>'DATA Sheet'!F17</f>
        <v>85912</v>
      </c>
      <c r="H5" s="26">
        <f>'DATA Sheet'!G17</f>
        <v>103940</v>
      </c>
      <c r="I5" s="26">
        <f>'DATA Sheet'!H17</f>
        <v>124014</v>
      </c>
      <c r="J5" s="26">
        <f>'DATA Sheet'!I17</f>
        <v>128933</v>
      </c>
      <c r="K5" s="26">
        <f>'DATA Sheet'!J17</f>
        <v>136592</v>
      </c>
      <c r="L5" s="26">
        <f>'DATA Sheet'!K17</f>
        <v>148819</v>
      </c>
    </row>
    <row r="6" spans="1:12" x14ac:dyDescent="0.35">
      <c r="B6" s="30" t="s">
        <v>116</v>
      </c>
      <c r="C6" s="30"/>
      <c r="D6" s="31">
        <f>D5/C5-1</f>
        <v>4.4730051105601465E-2</v>
      </c>
      <c r="E6" s="31">
        <f t="shared" ref="E6:L6" si="0">E5/D5-1</f>
        <v>0.18026831985276304</v>
      </c>
      <c r="F6" s="31">
        <f t="shared" si="0"/>
        <v>8.1250769420164959E-2</v>
      </c>
      <c r="G6" s="31">
        <f t="shared" si="0"/>
        <v>8.6847065669791279E-2</v>
      </c>
      <c r="H6" s="31">
        <f t="shared" si="0"/>
        <v>0.20984262966756684</v>
      </c>
      <c r="I6" s="31">
        <f t="shared" si="0"/>
        <v>0.1931306522994034</v>
      </c>
      <c r="J6" s="31">
        <f t="shared" si="0"/>
        <v>3.9664876546196437E-2</v>
      </c>
      <c r="K6" s="31">
        <f t="shared" si="0"/>
        <v>5.9402945715991917E-2</v>
      </c>
      <c r="L6" s="31">
        <f t="shared" si="0"/>
        <v>8.9514759283120471E-2</v>
      </c>
    </row>
    <row r="8" spans="1:12" x14ac:dyDescent="0.35">
      <c r="B8" t="s">
        <v>114</v>
      </c>
      <c r="C8" s="26">
        <f>SUM('DATA Sheet'!B18:B22)</f>
        <v>38281</v>
      </c>
      <c r="D8" s="26">
        <f>SUM('DATA Sheet'!C18:C22)</f>
        <v>40331</v>
      </c>
      <c r="E8" s="26">
        <f>SUM('DATA Sheet'!D18:D22)</f>
        <v>48850</v>
      </c>
      <c r="F8" s="26">
        <f>SUM('DATA Sheet'!E18:E22)</f>
        <v>53988</v>
      </c>
      <c r="G8" s="26">
        <f>SUM('DATA Sheet'!F18:F22)</f>
        <v>57966</v>
      </c>
      <c r="H8" s="26">
        <f>SUM('DATA Sheet'!G18:G22)</f>
        <v>71916</v>
      </c>
      <c r="I8" s="26">
        <f>SUM('DATA Sheet'!H18:H22)</f>
        <v>88211</v>
      </c>
      <c r="J8" s="26">
        <f>SUM('DATA Sheet'!I18:I22)</f>
        <v>91832</v>
      </c>
      <c r="K8" s="26">
        <f>SUM('DATA Sheet'!J18:J22)</f>
        <v>97647</v>
      </c>
      <c r="L8" s="26">
        <f>SUM('DATA Sheet'!K18:K22)</f>
        <v>106285</v>
      </c>
    </row>
    <row r="9" spans="1:12" x14ac:dyDescent="0.35">
      <c r="B9" s="30" t="s">
        <v>117</v>
      </c>
      <c r="C9" s="31">
        <f>C8/C5</f>
        <v>0.64566783045758913</v>
      </c>
      <c r="D9" s="31">
        <f t="shared" ref="D9:L9" si="1">D8/D5</f>
        <v>0.65111961382606032</v>
      </c>
      <c r="E9" s="31">
        <f t="shared" si="1"/>
        <v>0.66819866770623881</v>
      </c>
      <c r="F9" s="31">
        <f t="shared" si="1"/>
        <v>0.682986071577669</v>
      </c>
      <c r="G9" s="31">
        <f t="shared" si="1"/>
        <v>0.67471366048980352</v>
      </c>
      <c r="H9" s="31">
        <f t="shared" si="1"/>
        <v>0.69189917259957667</v>
      </c>
      <c r="I9" s="31">
        <f t="shared" si="1"/>
        <v>0.71129872433757479</v>
      </c>
      <c r="J9" s="31">
        <f t="shared" si="1"/>
        <v>0.71224589515484782</v>
      </c>
      <c r="K9" s="31">
        <f t="shared" si="1"/>
        <v>0.71488081293194328</v>
      </c>
      <c r="L9" s="31">
        <f t="shared" si="1"/>
        <v>0.71418972039860507</v>
      </c>
    </row>
    <row r="10" spans="1:12" ht="15" thickBot="1" x14ac:dyDescent="0.4"/>
    <row r="11" spans="1:12" ht="15" thickBot="1" x14ac:dyDescent="0.4">
      <c r="B11" s="32" t="s">
        <v>118</v>
      </c>
      <c r="C11" s="33">
        <f>C5-C8</f>
        <v>21008</v>
      </c>
      <c r="D11" s="33">
        <f t="shared" ref="D11:L11" si="2">D5-D8</f>
        <v>21610</v>
      </c>
      <c r="E11" s="33">
        <f t="shared" si="2"/>
        <v>24257</v>
      </c>
      <c r="F11" s="33">
        <f t="shared" si="2"/>
        <v>25059</v>
      </c>
      <c r="G11" s="33">
        <f t="shared" si="2"/>
        <v>27946</v>
      </c>
      <c r="H11" s="33">
        <f t="shared" si="2"/>
        <v>32024</v>
      </c>
      <c r="I11" s="33">
        <f t="shared" si="2"/>
        <v>35803</v>
      </c>
      <c r="J11" s="33">
        <f t="shared" si="2"/>
        <v>37101</v>
      </c>
      <c r="K11" s="33">
        <f t="shared" si="2"/>
        <v>38945</v>
      </c>
      <c r="L11" s="33">
        <f t="shared" si="2"/>
        <v>42534</v>
      </c>
    </row>
    <row r="12" spans="1:12" x14ac:dyDescent="0.35">
      <c r="B12" s="30" t="s">
        <v>119</v>
      </c>
      <c r="C12" s="31">
        <f>C11/C5</f>
        <v>0.35433216954241092</v>
      </c>
      <c r="D12" s="31">
        <f t="shared" ref="D12:L12" si="3">D11/D5</f>
        <v>0.34888038617393974</v>
      </c>
      <c r="E12" s="31">
        <f t="shared" si="3"/>
        <v>0.33180133229376119</v>
      </c>
      <c r="F12" s="31">
        <f t="shared" si="3"/>
        <v>0.317013928422331</v>
      </c>
      <c r="G12" s="31">
        <f t="shared" si="3"/>
        <v>0.32528633951019648</v>
      </c>
      <c r="H12" s="31">
        <f t="shared" si="3"/>
        <v>0.30810082740042333</v>
      </c>
      <c r="I12" s="31">
        <f t="shared" si="3"/>
        <v>0.28870127566242521</v>
      </c>
      <c r="J12" s="31">
        <f t="shared" si="3"/>
        <v>0.28775410484515213</v>
      </c>
      <c r="K12" s="31">
        <f t="shared" si="3"/>
        <v>0.28511918706805667</v>
      </c>
      <c r="L12" s="31">
        <f t="shared" si="3"/>
        <v>0.28581027960139499</v>
      </c>
    </row>
    <row r="15" spans="1:12" x14ac:dyDescent="0.35">
      <c r="B15" t="s">
        <v>120</v>
      </c>
      <c r="C15" s="26">
        <f>'DATA Sheet'!B23+'DATA Sheet'!B24</f>
        <v>3801</v>
      </c>
      <c r="D15" s="26">
        <f>'DATA Sheet'!C23+'DATA Sheet'!C24</f>
        <v>4313</v>
      </c>
      <c r="E15" s="26">
        <f>'DATA Sheet'!D23+'DATA Sheet'!D24</f>
        <v>5583</v>
      </c>
      <c r="F15" s="26">
        <f>'DATA Sheet'!E23+'DATA Sheet'!E24</f>
        <v>5024</v>
      </c>
      <c r="G15" s="26">
        <f>'DATA Sheet'!F23+'DATA Sheet'!F24</f>
        <v>3489</v>
      </c>
      <c r="H15" s="26">
        <f>'DATA Sheet'!G23+'DATA Sheet'!G24</f>
        <v>4196</v>
      </c>
      <c r="I15" s="26">
        <f>'DATA Sheet'!H23+'DATA Sheet'!H24</f>
        <v>5109</v>
      </c>
      <c r="J15" s="26">
        <f>'DATA Sheet'!I23+'DATA Sheet'!I24</f>
        <v>5344</v>
      </c>
      <c r="K15" s="26">
        <f>'DATA Sheet'!J23+'DATA Sheet'!J24</f>
        <v>5446</v>
      </c>
      <c r="L15" s="26">
        <f>'DATA Sheet'!K23+'DATA Sheet'!K24</f>
        <v>6521</v>
      </c>
    </row>
    <row r="16" spans="1:12" x14ac:dyDescent="0.35">
      <c r="B16" s="30" t="s">
        <v>117</v>
      </c>
      <c r="C16" s="31">
        <f>C15/C5</f>
        <v>6.4109699944340431E-2</v>
      </c>
      <c r="D16" s="31">
        <f t="shared" ref="D16:L16" si="4">D15/D5</f>
        <v>6.9630777675529942E-2</v>
      </c>
      <c r="E16" s="31">
        <f t="shared" si="4"/>
        <v>7.6367516106528782E-2</v>
      </c>
      <c r="F16" s="31">
        <f t="shared" si="4"/>
        <v>6.3557124242539245E-2</v>
      </c>
      <c r="G16" s="31">
        <f t="shared" si="4"/>
        <v>4.0611323214451996E-2</v>
      </c>
      <c r="H16" s="31">
        <f t="shared" si="4"/>
        <v>4.0369443909948045E-2</v>
      </c>
      <c r="I16" s="31">
        <f t="shared" si="4"/>
        <v>4.1196961633363977E-2</v>
      </c>
      <c r="J16" s="31">
        <f t="shared" si="4"/>
        <v>4.1447883784601305E-2</v>
      </c>
      <c r="K16" s="31">
        <f t="shared" si="4"/>
        <v>3.9870563429776268E-2</v>
      </c>
      <c r="L16" s="31">
        <f t="shared" si="4"/>
        <v>4.3818329648767966E-2</v>
      </c>
    </row>
    <row r="17" spans="2:12" ht="15" thickBot="1" x14ac:dyDescent="0.4"/>
    <row r="18" spans="2:12" ht="15" thickBot="1" x14ac:dyDescent="0.4">
      <c r="B18" s="32" t="s">
        <v>121</v>
      </c>
      <c r="C18" s="33">
        <f>C11-C15</f>
        <v>17207</v>
      </c>
      <c r="D18" s="33">
        <f t="shared" ref="D18:L18" si="5">D11-D15</f>
        <v>17297</v>
      </c>
      <c r="E18" s="33">
        <f t="shared" si="5"/>
        <v>18674</v>
      </c>
      <c r="F18" s="33">
        <f t="shared" si="5"/>
        <v>20035</v>
      </c>
      <c r="G18" s="33">
        <f t="shared" si="5"/>
        <v>24457</v>
      </c>
      <c r="H18" s="33">
        <f t="shared" si="5"/>
        <v>27828</v>
      </c>
      <c r="I18" s="33">
        <f t="shared" si="5"/>
        <v>30694</v>
      </c>
      <c r="J18" s="33">
        <f t="shared" si="5"/>
        <v>31757</v>
      </c>
      <c r="K18" s="33">
        <f t="shared" si="5"/>
        <v>33499</v>
      </c>
      <c r="L18" s="33">
        <f t="shared" si="5"/>
        <v>36013</v>
      </c>
    </row>
    <row r="19" spans="2:12" x14ac:dyDescent="0.35">
      <c r="B19" s="30" t="s">
        <v>117</v>
      </c>
      <c r="C19" s="31">
        <f>C18/C5</f>
        <v>0.29022246959807046</v>
      </c>
      <c r="D19" s="31">
        <f t="shared" ref="D19:L19" si="6">D18/D5</f>
        <v>0.2792496084984098</v>
      </c>
      <c r="E19" s="31">
        <f t="shared" si="6"/>
        <v>0.25543381618723243</v>
      </c>
      <c r="F19" s="31">
        <f t="shared" si="6"/>
        <v>0.25345680417979177</v>
      </c>
      <c r="G19" s="31">
        <f t="shared" si="6"/>
        <v>0.28467501629574449</v>
      </c>
      <c r="H19" s="31">
        <f t="shared" si="6"/>
        <v>0.26773138349047526</v>
      </c>
      <c r="I19" s="31">
        <f t="shared" si="6"/>
        <v>0.24750431402906123</v>
      </c>
      <c r="J19" s="31">
        <f t="shared" si="6"/>
        <v>0.24630622106055083</v>
      </c>
      <c r="K19" s="31">
        <f t="shared" si="6"/>
        <v>0.24524862363828043</v>
      </c>
      <c r="L19" s="31">
        <f t="shared" si="6"/>
        <v>0.24199194995262702</v>
      </c>
    </row>
    <row r="22" spans="2:12" x14ac:dyDescent="0.35">
      <c r="B22" t="s">
        <v>22</v>
      </c>
      <c r="C22" s="26">
        <f>'DATA Sheet'!B27</f>
        <v>0</v>
      </c>
      <c r="D22" s="26">
        <f>'DATA Sheet'!C27</f>
        <v>0</v>
      </c>
      <c r="E22" s="26">
        <f>'DATA Sheet'!D27</f>
        <v>0</v>
      </c>
      <c r="F22" s="26">
        <f>'DATA Sheet'!E27</f>
        <v>114</v>
      </c>
      <c r="G22" s="26">
        <f>'DATA Sheet'!F27</f>
        <v>126</v>
      </c>
      <c r="H22" s="26">
        <f>'DATA Sheet'!G27</f>
        <v>128</v>
      </c>
      <c r="I22" s="26">
        <f>'DATA Sheet'!H27</f>
        <v>157</v>
      </c>
      <c r="J22" s="26">
        <f>'DATA Sheet'!I27</f>
        <v>277</v>
      </c>
      <c r="K22" s="26">
        <f>'DATA Sheet'!J27</f>
        <v>221</v>
      </c>
      <c r="L22" s="26">
        <f>'DATA Sheet'!K27</f>
        <v>207</v>
      </c>
    </row>
    <row r="25" spans="2:12" x14ac:dyDescent="0.35">
      <c r="B25" t="s">
        <v>21</v>
      </c>
      <c r="C25" s="26">
        <f>'DATA Sheet'!B26</f>
        <v>1331</v>
      </c>
      <c r="D25" s="26">
        <f>'DATA Sheet'!C26</f>
        <v>1408</v>
      </c>
      <c r="E25" s="26">
        <f>'DATA Sheet'!D26</f>
        <v>1599</v>
      </c>
      <c r="F25" s="26">
        <f>'DATA Sheet'!E26</f>
        <v>2144</v>
      </c>
      <c r="G25" s="26">
        <f>'DATA Sheet'!F26</f>
        <v>2321</v>
      </c>
      <c r="H25" s="26">
        <f>'DATA Sheet'!G26</f>
        <v>2429</v>
      </c>
      <c r="I25" s="26">
        <f>'DATA Sheet'!H26</f>
        <v>2753</v>
      </c>
      <c r="J25" s="26">
        <f>'DATA Sheet'!I26</f>
        <v>2944</v>
      </c>
      <c r="K25" s="26">
        <f>'DATA Sheet'!J26</f>
        <v>2619</v>
      </c>
      <c r="L25" s="26">
        <f>'DATA Sheet'!K26</f>
        <v>2394</v>
      </c>
    </row>
    <row r="28" spans="2:12" x14ac:dyDescent="0.35">
      <c r="B28" t="s">
        <v>20</v>
      </c>
      <c r="C28" s="26">
        <f>'DATA Sheet'!B25</f>
        <v>3062</v>
      </c>
      <c r="D28" s="26">
        <f>'DATA Sheet'!C25</f>
        <v>4019</v>
      </c>
      <c r="E28" s="26">
        <f>'DATA Sheet'!D25</f>
        <v>2852</v>
      </c>
      <c r="F28" s="26">
        <f>'DATA Sheet'!E25</f>
        <v>2700</v>
      </c>
      <c r="G28" s="26">
        <f>'DATA Sheet'!F25</f>
        <v>2467</v>
      </c>
      <c r="H28" s="26">
        <f>'DATA Sheet'!G25</f>
        <v>3224</v>
      </c>
      <c r="I28" s="26">
        <f>'DATA Sheet'!H25</f>
        <v>3859</v>
      </c>
      <c r="J28" s="26">
        <f>'DATA Sheet'!I25</f>
        <v>7417</v>
      </c>
      <c r="K28" s="26">
        <f>'DATA Sheet'!J25</f>
        <v>4782</v>
      </c>
      <c r="L28" s="26">
        <f>'DATA Sheet'!K25</f>
        <v>5345</v>
      </c>
    </row>
    <row r="30" spans="2:12" ht="15" thickBot="1" x14ac:dyDescent="0.4"/>
    <row r="31" spans="2:12" ht="15" thickBot="1" x14ac:dyDescent="0.4">
      <c r="B31" s="32" t="s">
        <v>122</v>
      </c>
      <c r="C31" s="33">
        <f>C18+C28-C25-C22</f>
        <v>18938</v>
      </c>
      <c r="D31" s="33">
        <f t="shared" ref="D31:L31" si="7">D18+D28-D25-D22</f>
        <v>19908</v>
      </c>
      <c r="E31" s="33">
        <f t="shared" si="7"/>
        <v>19927</v>
      </c>
      <c r="F31" s="33">
        <f t="shared" si="7"/>
        <v>20477</v>
      </c>
      <c r="G31" s="33">
        <f t="shared" si="7"/>
        <v>24477</v>
      </c>
      <c r="H31" s="33">
        <f t="shared" si="7"/>
        <v>28495</v>
      </c>
      <c r="I31" s="33">
        <f t="shared" si="7"/>
        <v>31643</v>
      </c>
      <c r="J31" s="33">
        <f t="shared" si="7"/>
        <v>35953</v>
      </c>
      <c r="K31" s="33">
        <f t="shared" si="7"/>
        <v>35441</v>
      </c>
      <c r="L31" s="33">
        <f t="shared" si="7"/>
        <v>38757</v>
      </c>
    </row>
    <row r="32" spans="2:12" x14ac:dyDescent="0.35">
      <c r="B32" s="30" t="s">
        <v>117</v>
      </c>
      <c r="C32" s="31">
        <f>C31/C5</f>
        <v>0.31941844186948676</v>
      </c>
      <c r="D32" s="31">
        <f t="shared" ref="D32:L32" si="8">D31/D5</f>
        <v>0.32140262507870393</v>
      </c>
      <c r="E32" s="31">
        <f t="shared" si="8"/>
        <v>0.27257307781744566</v>
      </c>
      <c r="F32" s="31">
        <f t="shared" si="8"/>
        <v>0.25904841423456931</v>
      </c>
      <c r="G32" s="31">
        <f t="shared" si="8"/>
        <v>0.28490781264549769</v>
      </c>
      <c r="H32" s="31">
        <f t="shared" si="8"/>
        <v>0.27414854723879162</v>
      </c>
      <c r="I32" s="31">
        <f t="shared" si="8"/>
        <v>0.25515667585917717</v>
      </c>
      <c r="J32" s="31">
        <f t="shared" si="8"/>
        <v>0.27885025555908882</v>
      </c>
      <c r="K32" s="31">
        <f t="shared" si="8"/>
        <v>0.25946614735855689</v>
      </c>
      <c r="L32" s="31">
        <f t="shared" si="8"/>
        <v>0.26043045578857538</v>
      </c>
    </row>
    <row r="34" spans="1:12" x14ac:dyDescent="0.35">
      <c r="B34" t="s">
        <v>24</v>
      </c>
      <c r="C34" s="26">
        <f>'DATA Sheet'!B29</f>
        <v>5120</v>
      </c>
      <c r="D34" s="26">
        <f>'DATA Sheet'!C29</f>
        <v>3753</v>
      </c>
      <c r="E34" s="26">
        <f>'DATA Sheet'!D29</f>
        <v>5225</v>
      </c>
      <c r="F34" s="26">
        <f>'DATA Sheet'!E29</f>
        <v>4934</v>
      </c>
      <c r="G34" s="26">
        <f>'DATA Sheet'!F29</f>
        <v>6429</v>
      </c>
      <c r="H34" s="26">
        <f>'DATA Sheet'!G29</f>
        <v>7260</v>
      </c>
      <c r="I34" s="26">
        <f>'DATA Sheet'!H29</f>
        <v>8375</v>
      </c>
      <c r="J34" s="26">
        <f>'DATA Sheet'!I29</f>
        <v>8719</v>
      </c>
      <c r="K34" s="26">
        <f>'DATA Sheet'!J29</f>
        <v>9873</v>
      </c>
      <c r="L34" s="26">
        <f>'DATA Sheet'!K29</f>
        <v>9546</v>
      </c>
    </row>
    <row r="35" spans="1:12" x14ac:dyDescent="0.35">
      <c r="B35" s="30" t="s">
        <v>123</v>
      </c>
      <c r="C35" s="31">
        <f>C34/C31</f>
        <v>0.2703558981941071</v>
      </c>
      <c r="D35" s="31">
        <f t="shared" ref="D35:L35" si="9">D34/D31</f>
        <v>0.18851717902350815</v>
      </c>
      <c r="E35" s="31">
        <f t="shared" si="9"/>
        <v>0.26220705575350028</v>
      </c>
      <c r="F35" s="31">
        <f t="shared" si="9"/>
        <v>0.24095326463837477</v>
      </c>
      <c r="G35" s="31">
        <f t="shared" si="9"/>
        <v>0.26265473710013482</v>
      </c>
      <c r="H35" s="31">
        <f t="shared" si="9"/>
        <v>0.2547815406211616</v>
      </c>
      <c r="I35" s="31">
        <f t="shared" si="9"/>
        <v>0.2646714913250956</v>
      </c>
      <c r="J35" s="31">
        <f t="shared" si="9"/>
        <v>0.24251105610102078</v>
      </c>
      <c r="K35" s="31">
        <f t="shared" si="9"/>
        <v>0.27857566095764791</v>
      </c>
      <c r="L35" s="31">
        <f t="shared" si="9"/>
        <v>0.24630389349020823</v>
      </c>
    </row>
    <row r="36" spans="1:12" ht="15" thickBot="1" x14ac:dyDescent="0.4"/>
    <row r="37" spans="1:12" ht="15" thickBot="1" x14ac:dyDescent="0.4">
      <c r="B37" s="32" t="s">
        <v>25</v>
      </c>
      <c r="C37" s="33">
        <f>C31-C34</f>
        <v>13818</v>
      </c>
      <c r="D37" s="33">
        <f t="shared" ref="D37:L37" si="10">D31-D34</f>
        <v>16155</v>
      </c>
      <c r="E37" s="33">
        <f t="shared" si="10"/>
        <v>14702</v>
      </c>
      <c r="F37" s="33">
        <f t="shared" si="10"/>
        <v>15543</v>
      </c>
      <c r="G37" s="33">
        <f t="shared" si="10"/>
        <v>18048</v>
      </c>
      <c r="H37" s="33">
        <f t="shared" si="10"/>
        <v>21235</v>
      </c>
      <c r="I37" s="33">
        <f t="shared" si="10"/>
        <v>23268</v>
      </c>
      <c r="J37" s="33">
        <f t="shared" si="10"/>
        <v>27234</v>
      </c>
      <c r="K37" s="33">
        <f t="shared" si="10"/>
        <v>25568</v>
      </c>
      <c r="L37" s="33">
        <f t="shared" si="10"/>
        <v>29211</v>
      </c>
    </row>
    <row r="38" spans="1:12" x14ac:dyDescent="0.35">
      <c r="B38" s="22"/>
      <c r="C38" s="37"/>
      <c r="D38" s="37"/>
      <c r="E38" s="37"/>
      <c r="F38" s="37"/>
      <c r="G38" s="37"/>
      <c r="H38" s="37"/>
      <c r="I38" s="37"/>
      <c r="J38" s="37"/>
      <c r="K38" s="37"/>
      <c r="L38" s="37"/>
    </row>
    <row r="39" spans="1:12" x14ac:dyDescent="0.35">
      <c r="B39" s="22" t="s">
        <v>160</v>
      </c>
      <c r="C39" s="26">
        <f>'DATA Sheet'!B31</f>
        <v>5912.2</v>
      </c>
      <c r="D39" s="26">
        <f>'DATA Sheet'!C31</f>
        <v>9500.4</v>
      </c>
      <c r="E39" s="26">
        <f>'DATA Sheet'!D31</f>
        <v>9365.4</v>
      </c>
      <c r="F39" s="26">
        <f>'DATA Sheet'!E31</f>
        <v>7451.5</v>
      </c>
      <c r="G39" s="26">
        <f>'DATA Sheet'!F31</f>
        <v>11502</v>
      </c>
      <c r="H39" s="26">
        <f>'DATA Sheet'!G31</f>
        <v>13038.6</v>
      </c>
      <c r="I39" s="26">
        <f>'DATA Sheet'!H31</f>
        <v>14103.2</v>
      </c>
      <c r="J39" s="26">
        <f>'DATA Sheet'!I31</f>
        <v>19090</v>
      </c>
      <c r="K39" s="26">
        <f>'DATA Sheet'!J31</f>
        <v>17853.599999999999</v>
      </c>
      <c r="L39" s="26">
        <f>'DATA Sheet'!K31</f>
        <v>19459.2</v>
      </c>
    </row>
    <row r="40" spans="1:12" x14ac:dyDescent="0.35">
      <c r="B40" t="s">
        <v>161</v>
      </c>
      <c r="C40" s="27">
        <f>C39/C37</f>
        <v>0.42786220871327252</v>
      </c>
      <c r="D40" s="27">
        <f t="shared" ref="D40:L40" si="11">D39/D37</f>
        <v>0.58807799442896935</v>
      </c>
      <c r="E40" s="27">
        <f t="shared" si="11"/>
        <v>0.63701537205822334</v>
      </c>
      <c r="F40" s="27">
        <f t="shared" si="11"/>
        <v>0.4794119539342469</v>
      </c>
      <c r="G40" s="27">
        <f t="shared" si="11"/>
        <v>0.63730053191489366</v>
      </c>
      <c r="H40" s="27">
        <f t="shared" si="11"/>
        <v>0.61401459854014595</v>
      </c>
      <c r="I40" s="27">
        <f t="shared" si="11"/>
        <v>0.60611999312360332</v>
      </c>
      <c r="J40" s="27">
        <f t="shared" si="11"/>
        <v>0.70096203275317615</v>
      </c>
      <c r="K40" s="27">
        <f t="shared" si="11"/>
        <v>0.69827909887359196</v>
      </c>
      <c r="L40" s="27">
        <f t="shared" si="11"/>
        <v>0.66616000821608301</v>
      </c>
    </row>
    <row r="41" spans="1:12" x14ac:dyDescent="0.35">
      <c r="B41" t="s">
        <v>162</v>
      </c>
      <c r="C41" s="27">
        <f>1-C40</f>
        <v>0.57213779128672748</v>
      </c>
      <c r="D41" s="27">
        <f t="shared" ref="D41:L41" si="12">1-D40</f>
        <v>0.41192200557103065</v>
      </c>
      <c r="E41" s="27">
        <f t="shared" si="12"/>
        <v>0.36298462794177666</v>
      </c>
      <c r="F41" s="27">
        <f t="shared" si="12"/>
        <v>0.52058804606575304</v>
      </c>
      <c r="G41" s="27">
        <f t="shared" si="12"/>
        <v>0.36269946808510634</v>
      </c>
      <c r="H41" s="27">
        <f t="shared" si="12"/>
        <v>0.38598540145985405</v>
      </c>
      <c r="I41" s="27">
        <f t="shared" si="12"/>
        <v>0.39388000687639668</v>
      </c>
      <c r="J41" s="27">
        <f t="shared" si="12"/>
        <v>0.29903796724682385</v>
      </c>
      <c r="K41" s="27">
        <f t="shared" si="12"/>
        <v>0.30172090112640804</v>
      </c>
      <c r="L41" s="27">
        <f t="shared" si="12"/>
        <v>0.33383999178391699</v>
      </c>
    </row>
    <row r="43" spans="1:12" x14ac:dyDescent="0.35">
      <c r="A43" t="s">
        <v>112</v>
      </c>
      <c r="B43" s="24" t="s">
        <v>124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5" spans="1:12" x14ac:dyDescent="0.35">
      <c r="B45" s="6" t="s">
        <v>31</v>
      </c>
      <c r="C45" s="26">
        <f>'DATA Sheet'!B57</f>
        <v>1148</v>
      </c>
      <c r="D45" s="26">
        <f>'DATA Sheet'!C57</f>
        <v>1092</v>
      </c>
      <c r="E45" s="26">
        <f>'DATA Sheet'!D57</f>
        <v>2178</v>
      </c>
      <c r="F45" s="26">
        <f>'DATA Sheet'!E57</f>
        <v>2129</v>
      </c>
      <c r="G45" s="26">
        <f>'DATA Sheet'!F57</f>
        <v>2130</v>
      </c>
      <c r="H45" s="26">
        <f>'DATA Sheet'!G57</f>
        <v>2103</v>
      </c>
      <c r="I45" s="26">
        <f>'DATA Sheet'!H57</f>
        <v>2074</v>
      </c>
      <c r="J45" s="26">
        <f>'DATA Sheet'!I57</f>
        <v>2075</v>
      </c>
      <c r="K45" s="26">
        <f>'DATA Sheet'!J57</f>
        <v>2076</v>
      </c>
      <c r="L45" s="26">
        <f>'DATA Sheet'!K57</f>
        <v>2027</v>
      </c>
    </row>
    <row r="46" spans="1:12" x14ac:dyDescent="0.35">
      <c r="B46" s="6" t="s">
        <v>32</v>
      </c>
      <c r="C46" s="26">
        <f>'DATA Sheet'!B58</f>
        <v>66869</v>
      </c>
      <c r="D46" s="26">
        <f>'DATA Sheet'!C58</f>
        <v>62410</v>
      </c>
      <c r="E46" s="26">
        <f>'DATA Sheet'!D58</f>
        <v>60533</v>
      </c>
      <c r="F46" s="26">
        <f>'DATA Sheet'!E58</f>
        <v>60105</v>
      </c>
      <c r="G46" s="26">
        <f>'DATA Sheet'!F58</f>
        <v>69401</v>
      </c>
      <c r="H46" s="26">
        <f>'DATA Sheet'!G58</f>
        <v>67203</v>
      </c>
      <c r="I46" s="26">
        <f>'DATA Sheet'!H58</f>
        <v>65671</v>
      </c>
      <c r="J46" s="26">
        <f>'DATA Sheet'!I58</f>
        <v>79101</v>
      </c>
      <c r="K46" s="26">
        <f>'DATA Sheet'!J58</f>
        <v>85256</v>
      </c>
      <c r="L46" s="26">
        <f>'DATA Sheet'!K58</f>
        <v>78847</v>
      </c>
    </row>
    <row r="47" spans="1:12" x14ac:dyDescent="0.35">
      <c r="B47" s="6" t="s">
        <v>33</v>
      </c>
      <c r="C47" s="26">
        <f>'DATA Sheet'!B59</f>
        <v>0</v>
      </c>
      <c r="D47" s="26">
        <f>'DATA Sheet'!C59</f>
        <v>0</v>
      </c>
      <c r="E47" s="26">
        <f>'DATA Sheet'!D59</f>
        <v>0</v>
      </c>
      <c r="F47" s="26">
        <f>'DATA Sheet'!E59</f>
        <v>3165</v>
      </c>
      <c r="G47" s="26">
        <f>'DATA Sheet'!F59</f>
        <v>3854</v>
      </c>
      <c r="H47" s="26">
        <f>'DATA Sheet'!G59</f>
        <v>3786</v>
      </c>
      <c r="I47" s="26">
        <f>'DATA Sheet'!H59</f>
        <v>4266</v>
      </c>
      <c r="J47" s="26">
        <f>'DATA Sheet'!I59</f>
        <v>3766</v>
      </c>
      <c r="K47" s="26">
        <f>'DATA Sheet'!J59</f>
        <v>3459</v>
      </c>
      <c r="L47" s="26">
        <f>'DATA Sheet'!K59</f>
        <v>3749</v>
      </c>
    </row>
    <row r="48" spans="1:12" x14ac:dyDescent="0.35">
      <c r="B48" s="6" t="s">
        <v>34</v>
      </c>
      <c r="C48" s="26">
        <f>'DATA Sheet'!B60</f>
        <v>11868</v>
      </c>
      <c r="D48" s="26">
        <f>'DATA Sheet'!C60</f>
        <v>11870</v>
      </c>
      <c r="E48" s="26">
        <f>'DATA Sheet'!D60</f>
        <v>15678</v>
      </c>
      <c r="F48" s="26">
        <f>'DATA Sheet'!E60</f>
        <v>15086</v>
      </c>
      <c r="G48" s="26">
        <f>'DATA Sheet'!F60</f>
        <v>18043</v>
      </c>
      <c r="H48" s="26">
        <f>'DATA Sheet'!G60</f>
        <v>25454</v>
      </c>
      <c r="I48" s="26">
        <f>'DATA Sheet'!H60</f>
        <v>28547</v>
      </c>
      <c r="J48" s="26">
        <f>'DATA Sheet'!I60</f>
        <v>30008</v>
      </c>
      <c r="K48" s="26">
        <f>'DATA Sheet'!J60</f>
        <v>33648</v>
      </c>
      <c r="L48" s="26">
        <f>'DATA Sheet'!K60</f>
        <v>41078</v>
      </c>
    </row>
    <row r="49" spans="2:12" ht="15" thickBot="1" x14ac:dyDescent="0.4">
      <c r="B49" s="6"/>
      <c r="C49" s="26"/>
      <c r="D49" s="26"/>
      <c r="E49" s="26"/>
      <c r="F49" s="26"/>
      <c r="G49" s="26"/>
      <c r="H49" s="26"/>
      <c r="I49" s="26"/>
      <c r="J49" s="26"/>
      <c r="K49" s="26"/>
      <c r="L49" s="26"/>
    </row>
    <row r="50" spans="2:12" ht="15" thickBot="1" x14ac:dyDescent="0.4">
      <c r="B50" s="32" t="s">
        <v>125</v>
      </c>
      <c r="C50" s="33">
        <f>SUM(C45:C48)</f>
        <v>79885</v>
      </c>
      <c r="D50" s="33">
        <f t="shared" ref="D50:L50" si="13">SUM(D45:D48)</f>
        <v>75372</v>
      </c>
      <c r="E50" s="33">
        <f t="shared" si="13"/>
        <v>78389</v>
      </c>
      <c r="F50" s="33">
        <f t="shared" si="13"/>
        <v>80485</v>
      </c>
      <c r="G50" s="33">
        <f t="shared" si="13"/>
        <v>93428</v>
      </c>
      <c r="H50" s="33">
        <f t="shared" si="13"/>
        <v>98546</v>
      </c>
      <c r="I50" s="33">
        <f t="shared" si="13"/>
        <v>100558</v>
      </c>
      <c r="J50" s="33">
        <f t="shared" si="13"/>
        <v>114950</v>
      </c>
      <c r="K50" s="33">
        <f t="shared" si="13"/>
        <v>124439</v>
      </c>
      <c r="L50" s="33">
        <f t="shared" si="13"/>
        <v>125701</v>
      </c>
    </row>
    <row r="53" spans="2:12" x14ac:dyDescent="0.35">
      <c r="B53" s="2" t="s">
        <v>126</v>
      </c>
      <c r="C53" s="26">
        <f>'DATA Sheet'!B62</f>
        <v>8605</v>
      </c>
      <c r="D53" s="26">
        <f>'DATA Sheet'!C62</f>
        <v>9157</v>
      </c>
      <c r="E53" s="26">
        <f>'DATA Sheet'!D62</f>
        <v>10497</v>
      </c>
      <c r="F53" s="26">
        <f>'DATA Sheet'!E62</f>
        <v>13974</v>
      </c>
      <c r="G53" s="26">
        <f>'DATA Sheet'!F62</f>
        <v>14599</v>
      </c>
      <c r="H53" s="26">
        <f>'DATA Sheet'!G62</f>
        <v>14938</v>
      </c>
      <c r="I53" s="26">
        <f>'DATA Sheet'!H62</f>
        <v>15431</v>
      </c>
      <c r="J53" s="26">
        <f>'DATA Sheet'!I62</f>
        <v>14327</v>
      </c>
      <c r="K53" s="26">
        <f>'DATA Sheet'!J62</f>
        <v>13359</v>
      </c>
      <c r="L53" s="26">
        <f>'DATA Sheet'!K62</f>
        <v>13836</v>
      </c>
    </row>
    <row r="54" spans="2:12" x14ac:dyDescent="0.35">
      <c r="B54" s="6" t="s">
        <v>37</v>
      </c>
      <c r="C54" s="26">
        <f>'DATA Sheet'!B63</f>
        <v>1247</v>
      </c>
      <c r="D54" s="26">
        <f>'DATA Sheet'!C63</f>
        <v>1442</v>
      </c>
      <c r="E54" s="26">
        <f>'DATA Sheet'!D63</f>
        <v>1212</v>
      </c>
      <c r="F54" s="26">
        <f>'DATA Sheet'!E63</f>
        <v>945</v>
      </c>
      <c r="G54" s="26">
        <f>'DATA Sheet'!F63</f>
        <v>906</v>
      </c>
      <c r="H54" s="26">
        <f>'DATA Sheet'!G63</f>
        <v>411</v>
      </c>
      <c r="I54" s="26">
        <f>'DATA Sheet'!H63</f>
        <v>275</v>
      </c>
      <c r="J54" s="26">
        <f>'DATA Sheet'!I63</f>
        <v>277</v>
      </c>
      <c r="K54" s="26">
        <f>'DATA Sheet'!J63</f>
        <v>778</v>
      </c>
      <c r="L54" s="26">
        <f>'DATA Sheet'!K63</f>
        <v>512</v>
      </c>
    </row>
    <row r="55" spans="2:12" x14ac:dyDescent="0.35">
      <c r="B55" s="6" t="s">
        <v>38</v>
      </c>
      <c r="C55" s="26">
        <f>'DATA Sheet'!B64</f>
        <v>24977</v>
      </c>
      <c r="D55" s="26">
        <f>'DATA Sheet'!C64</f>
        <v>17899</v>
      </c>
      <c r="E55" s="26">
        <f>'DATA Sheet'!D64</f>
        <v>18139</v>
      </c>
      <c r="F55" s="26">
        <f>'DATA Sheet'!E64</f>
        <v>17922</v>
      </c>
      <c r="G55" s="26">
        <f>'DATA Sheet'!F64</f>
        <v>24155</v>
      </c>
      <c r="H55" s="26">
        <f>'DATA Sheet'!G64</f>
        <v>28336</v>
      </c>
      <c r="I55" s="26">
        <f>'DATA Sheet'!H64</f>
        <v>28162</v>
      </c>
      <c r="J55" s="26">
        <f>'DATA Sheet'!I64</f>
        <v>34659</v>
      </c>
      <c r="K55" s="26">
        <f>'DATA Sheet'!J64</f>
        <v>38518</v>
      </c>
      <c r="L55" s="26">
        <f>'DATA Sheet'!K64</f>
        <v>38075</v>
      </c>
    </row>
    <row r="56" spans="2:12" ht="15" thickBot="1" x14ac:dyDescent="0.4"/>
    <row r="57" spans="2:12" ht="15" thickBot="1" x14ac:dyDescent="0.4">
      <c r="B57" s="32" t="s">
        <v>127</v>
      </c>
      <c r="C57" s="33">
        <f>SUM(C53:C55)</f>
        <v>34829</v>
      </c>
      <c r="D57" s="33">
        <f t="shared" ref="D57:L57" si="14">SUM(D53:D55)</f>
        <v>28498</v>
      </c>
      <c r="E57" s="33">
        <f t="shared" si="14"/>
        <v>29848</v>
      </c>
      <c r="F57" s="33">
        <f t="shared" si="14"/>
        <v>32841</v>
      </c>
      <c r="G57" s="33">
        <f t="shared" si="14"/>
        <v>39660</v>
      </c>
      <c r="H57" s="33">
        <f t="shared" si="14"/>
        <v>43685</v>
      </c>
      <c r="I57" s="33">
        <f t="shared" si="14"/>
        <v>43868</v>
      </c>
      <c r="J57" s="33">
        <f t="shared" si="14"/>
        <v>49263</v>
      </c>
      <c r="K57" s="33">
        <f t="shared" si="14"/>
        <v>52655</v>
      </c>
      <c r="L57" s="33">
        <f t="shared" si="14"/>
        <v>52423</v>
      </c>
    </row>
    <row r="59" spans="2:12" x14ac:dyDescent="0.35">
      <c r="B59" t="s">
        <v>72</v>
      </c>
      <c r="C59" s="26">
        <f>'Balance sheet'!E13</f>
        <v>10960</v>
      </c>
      <c r="D59" s="26">
        <f>'Balance sheet'!F13</f>
        <v>12151</v>
      </c>
      <c r="E59" s="26">
        <f>'Balance sheet'!G13</f>
        <v>13370</v>
      </c>
      <c r="F59" s="26">
        <f>'Balance sheet'!H13</f>
        <v>15459</v>
      </c>
      <c r="G59" s="26">
        <f>'Balance sheet'!I13</f>
        <v>16394</v>
      </c>
      <c r="H59" s="26">
        <f>'Balance sheet'!J13</f>
        <v>18966</v>
      </c>
      <c r="I59" s="26">
        <f>'Balance sheet'!K13</f>
        <v>20773</v>
      </c>
      <c r="J59" s="26">
        <f>'Balance sheet'!L13</f>
        <v>25152</v>
      </c>
      <c r="K59" s="26">
        <f>'Balance sheet'!M13</f>
        <v>26413</v>
      </c>
      <c r="L59" s="26">
        <f>'Balance sheet'!N13</f>
        <v>30337</v>
      </c>
    </row>
    <row r="60" spans="2:12" x14ac:dyDescent="0.35">
      <c r="B60" t="s">
        <v>73</v>
      </c>
      <c r="C60" s="26">
        <f>'Balance sheet'!E14</f>
        <v>19153</v>
      </c>
      <c r="D60" s="26">
        <f>'Balance sheet'!F14</f>
        <v>16770</v>
      </c>
      <c r="E60" s="26">
        <f>'Balance sheet'!G14</f>
        <v>15551</v>
      </c>
      <c r="F60" s="26">
        <f>'Balance sheet'!H14</f>
        <v>13562</v>
      </c>
      <c r="G60" s="26">
        <f>'Balance sheet'!I14</f>
        <v>17612</v>
      </c>
      <c r="H60" s="26">
        <f>'Balance sheet'!J14</f>
        <v>12270</v>
      </c>
      <c r="I60" s="26">
        <f>'Balance sheet'!K14</f>
        <v>6534</v>
      </c>
      <c r="J60" s="26">
        <f>'Balance sheet'!L14</f>
        <v>8191</v>
      </c>
      <c r="K60" s="26">
        <f>'Balance sheet'!M14</f>
        <v>14265</v>
      </c>
      <c r="L60" s="26">
        <f>'Balance sheet'!N14</f>
        <v>8727</v>
      </c>
    </row>
    <row r="61" spans="2:12" x14ac:dyDescent="0.35">
      <c r="B61" t="s">
        <v>128</v>
      </c>
      <c r="C61" s="26">
        <f>'Balance sheet'!E15</f>
        <v>715</v>
      </c>
      <c r="D61" s="26">
        <f>'Balance sheet'!F15</f>
        <v>760</v>
      </c>
      <c r="E61" s="26">
        <f>'Balance sheet'!G15</f>
        <v>1304</v>
      </c>
      <c r="F61" s="26">
        <f>'Balance sheet'!H15</f>
        <v>1069</v>
      </c>
      <c r="G61" s="26">
        <f>'Balance sheet'!I15</f>
        <v>1138</v>
      </c>
      <c r="H61" s="26">
        <f>'Balance sheet'!J15</f>
        <v>1576</v>
      </c>
      <c r="I61" s="26">
        <f>'Balance sheet'!K15</f>
        <v>2124</v>
      </c>
      <c r="J61" s="26">
        <f>'Balance sheet'!L15</f>
        <v>8748</v>
      </c>
      <c r="K61" s="26">
        <f>'Balance sheet'!M15</f>
        <v>5532</v>
      </c>
      <c r="L61" s="26">
        <f>'Balance sheet'!N15</f>
        <v>5571</v>
      </c>
    </row>
    <row r="62" spans="2:12" x14ac:dyDescent="0.35">
      <c r="B62" t="s">
        <v>75</v>
      </c>
      <c r="C62" s="26">
        <f>'Balance sheet'!E16</f>
        <v>14228</v>
      </c>
      <c r="D62" s="26">
        <f>'Balance sheet'!F16</f>
        <v>17193</v>
      </c>
      <c r="E62" s="26">
        <f>'Balance sheet'!G16</f>
        <v>18316</v>
      </c>
      <c r="F62" s="26">
        <f>'Balance sheet'!H16</f>
        <v>17554</v>
      </c>
      <c r="G62" s="26">
        <f>'Balance sheet'!I16</f>
        <v>18624</v>
      </c>
      <c r="H62" s="26">
        <f>'Balance sheet'!J16</f>
        <v>22049</v>
      </c>
      <c r="I62" s="26">
        <f>'Balance sheet'!K16</f>
        <v>27259</v>
      </c>
      <c r="J62" s="26">
        <f>'Balance sheet'!L16</f>
        <v>23596</v>
      </c>
      <c r="K62" s="26">
        <f>'Balance sheet'!M16</f>
        <v>25574</v>
      </c>
      <c r="L62" s="26">
        <f>'Balance sheet'!N16</f>
        <v>28643</v>
      </c>
    </row>
    <row r="63" spans="2:12" ht="15" thickBot="1" x14ac:dyDescent="0.4"/>
    <row r="64" spans="2:12" ht="15" thickBot="1" x14ac:dyDescent="0.4">
      <c r="B64" s="32" t="s">
        <v>129</v>
      </c>
      <c r="C64" s="33">
        <f>SUM(C59:C62)</f>
        <v>45056</v>
      </c>
      <c r="D64" s="33">
        <f t="shared" ref="D64:L64" si="15">SUM(D59:D62)</f>
        <v>46874</v>
      </c>
      <c r="E64" s="33">
        <f t="shared" si="15"/>
        <v>48541</v>
      </c>
      <c r="F64" s="33">
        <f t="shared" si="15"/>
        <v>47644</v>
      </c>
      <c r="G64" s="33">
        <f t="shared" si="15"/>
        <v>53768</v>
      </c>
      <c r="H64" s="33">
        <f t="shared" si="15"/>
        <v>54861</v>
      </c>
      <c r="I64" s="33">
        <f t="shared" si="15"/>
        <v>56690</v>
      </c>
      <c r="J64" s="33">
        <f t="shared" si="15"/>
        <v>65687</v>
      </c>
      <c r="K64" s="33">
        <f t="shared" si="15"/>
        <v>71784</v>
      </c>
      <c r="L64" s="33">
        <f t="shared" si="15"/>
        <v>73278</v>
      </c>
    </row>
    <row r="65" spans="1:12" ht="15" thickBot="1" x14ac:dyDescent="0.4"/>
    <row r="66" spans="1:12" ht="15" thickBot="1" x14ac:dyDescent="0.4">
      <c r="B66" s="32" t="s">
        <v>130</v>
      </c>
      <c r="C66" s="33">
        <f>C64+C57</f>
        <v>79885</v>
      </c>
      <c r="D66" s="33">
        <f t="shared" ref="D66:L66" si="16">D64+D57</f>
        <v>75372</v>
      </c>
      <c r="E66" s="33">
        <f t="shared" si="16"/>
        <v>78389</v>
      </c>
      <c r="F66" s="33">
        <f t="shared" si="16"/>
        <v>80485</v>
      </c>
      <c r="G66" s="33">
        <f t="shared" si="16"/>
        <v>93428</v>
      </c>
      <c r="H66" s="33">
        <f t="shared" si="16"/>
        <v>98546</v>
      </c>
      <c r="I66" s="33">
        <f t="shared" si="16"/>
        <v>100558</v>
      </c>
      <c r="J66" s="33">
        <f t="shared" si="16"/>
        <v>114950</v>
      </c>
      <c r="K66" s="33">
        <f t="shared" si="16"/>
        <v>124439</v>
      </c>
      <c r="L66" s="33">
        <f t="shared" si="16"/>
        <v>125701</v>
      </c>
    </row>
    <row r="68" spans="1:12" x14ac:dyDescent="0.35">
      <c r="B68" s="28" t="s">
        <v>131</v>
      </c>
      <c r="C68" s="28" t="b">
        <f>C66=C50</f>
        <v>1</v>
      </c>
      <c r="D68" s="28" t="b">
        <f t="shared" ref="D68:L68" si="17">D66=D50</f>
        <v>1</v>
      </c>
      <c r="E68" s="28" t="b">
        <f t="shared" si="17"/>
        <v>1</v>
      </c>
      <c r="F68" s="28" t="b">
        <f t="shared" si="17"/>
        <v>1</v>
      </c>
      <c r="G68" s="28" t="b">
        <f t="shared" si="17"/>
        <v>1</v>
      </c>
      <c r="H68" s="28" t="b">
        <f t="shared" si="17"/>
        <v>1</v>
      </c>
      <c r="I68" s="28" t="b">
        <f t="shared" si="17"/>
        <v>1</v>
      </c>
      <c r="J68" s="28" t="b">
        <f t="shared" si="17"/>
        <v>1</v>
      </c>
      <c r="K68" s="28" t="b">
        <f t="shared" si="17"/>
        <v>1</v>
      </c>
      <c r="L68" s="28" t="b">
        <f t="shared" si="17"/>
        <v>1</v>
      </c>
    </row>
    <row r="71" spans="1:12" x14ac:dyDescent="0.35">
      <c r="A71" t="s">
        <v>112</v>
      </c>
      <c r="B71" s="24" t="s">
        <v>132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4" spans="1:12" x14ac:dyDescent="0.35">
      <c r="B74" s="6" t="s">
        <v>47</v>
      </c>
      <c r="C74" s="34">
        <f>'DATA Sheet'!B82</f>
        <v>10478</v>
      </c>
      <c r="D74" s="34">
        <f>'DATA Sheet'!C82</f>
        <v>12475</v>
      </c>
      <c r="E74" s="34">
        <f>'DATA Sheet'!D82</f>
        <v>13989</v>
      </c>
      <c r="F74" s="34">
        <f>'DATA Sheet'!E82</f>
        <v>15572</v>
      </c>
      <c r="G74" s="34">
        <f>'DATA Sheet'!F82</f>
        <v>19902</v>
      </c>
      <c r="H74" s="34">
        <f>'DATA Sheet'!G82</f>
        <v>22096</v>
      </c>
      <c r="I74" s="34">
        <f>'DATA Sheet'!H82</f>
        <v>19169</v>
      </c>
      <c r="J74" s="34">
        <f>'DATA Sheet'!I82</f>
        <v>20787</v>
      </c>
      <c r="K74" s="34">
        <f>'DATA Sheet'!J82</f>
        <v>29409</v>
      </c>
      <c r="L74" s="34">
        <f>'DATA Sheet'!K82</f>
        <v>28164</v>
      </c>
    </row>
    <row r="75" spans="1:12" x14ac:dyDescent="0.35">
      <c r="B75" s="6" t="s">
        <v>48</v>
      </c>
      <c r="C75" s="34">
        <f>'DATA Sheet'!B83</f>
        <v>-13533</v>
      </c>
      <c r="D75" s="34">
        <f>'DATA Sheet'!C83</f>
        <v>5678</v>
      </c>
      <c r="E75" s="34">
        <f>'DATA Sheet'!D83</f>
        <v>-637</v>
      </c>
      <c r="F75" s="34">
        <f>'DATA Sheet'!E83</f>
        <v>-170</v>
      </c>
      <c r="G75" s="34">
        <f>'DATA Sheet'!F83</f>
        <v>-6286</v>
      </c>
      <c r="H75" s="34">
        <f>'DATA Sheet'!G83</f>
        <v>-3163</v>
      </c>
      <c r="I75" s="34">
        <f>'DATA Sheet'!H83</f>
        <v>952</v>
      </c>
      <c r="J75" s="34">
        <f>'DATA Sheet'!I83</f>
        <v>-3305</v>
      </c>
      <c r="K75" s="34">
        <f>'DATA Sheet'!J83</f>
        <v>-1956</v>
      </c>
      <c r="L75" s="34">
        <f>'DATA Sheet'!K83</f>
        <v>4085</v>
      </c>
    </row>
    <row r="76" spans="1:12" x14ac:dyDescent="0.35">
      <c r="B76" s="6" t="s">
        <v>49</v>
      </c>
      <c r="C76" s="34">
        <f>'DATA Sheet'!B84</f>
        <v>-6968</v>
      </c>
      <c r="D76" s="34">
        <f>'DATA Sheet'!C84</f>
        <v>-20536</v>
      </c>
      <c r="E76" s="34">
        <f>'DATA Sheet'!D84</f>
        <v>-14571</v>
      </c>
      <c r="F76" s="34">
        <f>'DATA Sheet'!E84</f>
        <v>-17391</v>
      </c>
      <c r="G76" s="34">
        <f>'DATA Sheet'!F84</f>
        <v>-9566</v>
      </c>
      <c r="H76" s="34">
        <f>'DATA Sheet'!G84</f>
        <v>-24275</v>
      </c>
      <c r="I76" s="34">
        <f>'DATA Sheet'!H84</f>
        <v>-25857</v>
      </c>
      <c r="J76" s="34">
        <f>'DATA Sheet'!I84</f>
        <v>-15825</v>
      </c>
      <c r="K76" s="34">
        <f>'DATA Sheet'!J84</f>
        <v>-21379</v>
      </c>
      <c r="L76" s="34">
        <f>'DATA Sheet'!K84</f>
        <v>-37787</v>
      </c>
    </row>
    <row r="77" spans="1:12" ht="15" thickBot="1" x14ac:dyDescent="0.4">
      <c r="B77" s="6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15" thickBot="1" x14ac:dyDescent="0.4">
      <c r="B78" s="32" t="s">
        <v>50</v>
      </c>
      <c r="C78" s="35">
        <f t="shared" ref="C78:L78" si="18">SUM(C74:C76)</f>
        <v>-10023</v>
      </c>
      <c r="D78" s="35">
        <f t="shared" si="18"/>
        <v>-2383</v>
      </c>
      <c r="E78" s="35">
        <f t="shared" si="18"/>
        <v>-1219</v>
      </c>
      <c r="F78" s="35">
        <f t="shared" si="18"/>
        <v>-1989</v>
      </c>
      <c r="G78" s="35">
        <f t="shared" si="18"/>
        <v>4050</v>
      </c>
      <c r="H78" s="35">
        <f t="shared" si="18"/>
        <v>-5342</v>
      </c>
      <c r="I78" s="35">
        <f t="shared" si="18"/>
        <v>-5736</v>
      </c>
      <c r="J78" s="35">
        <f t="shared" si="18"/>
        <v>1657</v>
      </c>
      <c r="K78" s="35">
        <f t="shared" si="18"/>
        <v>6074</v>
      </c>
      <c r="L78" s="35">
        <f t="shared" si="18"/>
        <v>-5538</v>
      </c>
    </row>
  </sheetData>
  <mergeCells count="1">
    <mergeCell ref="B2:L2"/>
  </mergeCells>
  <pageMargins left="0.7" right="0.7" top="0.75" bottom="0.75" header="0.3" footer="0.3"/>
  <ignoredErrors>
    <ignoredError sqref="C8:L8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4A85-784C-4417-91E7-B873804FA755}">
  <dimension ref="A2:L46"/>
  <sheetViews>
    <sheetView showGridLines="0" topLeftCell="A14" workbookViewId="0">
      <selection activeCell="A24" sqref="A24"/>
    </sheetView>
  </sheetViews>
  <sheetFormatPr defaultRowHeight="14.5" x14ac:dyDescent="0.35"/>
  <cols>
    <col min="1" max="1" width="2.6328125" customWidth="1"/>
    <col min="2" max="2" width="34.81640625" customWidth="1"/>
    <col min="3" max="12" width="10.26953125" bestFit="1" customWidth="1"/>
  </cols>
  <sheetData>
    <row r="2" spans="1:12" x14ac:dyDescent="0.35">
      <c r="B2" s="107" t="str">
        <f>'DATA Sheet'!B1&amp;" Ratio Analysis"</f>
        <v>INFOSYS LTD Ratio Analysis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x14ac:dyDescent="0.35">
      <c r="B3" s="20" t="s">
        <v>101</v>
      </c>
      <c r="C3" s="21" t="s">
        <v>102</v>
      </c>
      <c r="D3" s="21" t="s">
        <v>103</v>
      </c>
      <c r="E3" s="21" t="s">
        <v>104</v>
      </c>
      <c r="F3" s="21" t="s">
        <v>105</v>
      </c>
      <c r="G3" s="21" t="s">
        <v>106</v>
      </c>
      <c r="H3" s="21" t="s">
        <v>107</v>
      </c>
      <c r="I3" s="21" t="s">
        <v>108</v>
      </c>
      <c r="J3" s="21" t="s">
        <v>109</v>
      </c>
      <c r="K3" s="21" t="s">
        <v>110</v>
      </c>
      <c r="L3" s="21" t="s">
        <v>111</v>
      </c>
    </row>
    <row r="4" spans="1:12" x14ac:dyDescent="0.35">
      <c r="A4" s="28" t="s">
        <v>112</v>
      </c>
      <c r="B4" s="23"/>
    </row>
    <row r="5" spans="1:12" x14ac:dyDescent="0.35">
      <c r="B5" s="36" t="s">
        <v>116</v>
      </c>
      <c r="C5" s="27"/>
      <c r="D5" s="27">
        <f>'Historical FS'!D6</f>
        <v>4.4730051105601465E-2</v>
      </c>
      <c r="E5" s="27">
        <f>'Historical FS'!E6</f>
        <v>0.18026831985276304</v>
      </c>
      <c r="F5" s="27">
        <f>'Historical FS'!F6</f>
        <v>8.1250769420164959E-2</v>
      </c>
      <c r="G5" s="27">
        <f>'Historical FS'!G6</f>
        <v>8.6847065669791279E-2</v>
      </c>
      <c r="H5" s="27">
        <f>'Historical FS'!H6</f>
        <v>0.20984262966756684</v>
      </c>
      <c r="I5" s="27">
        <f>'Historical FS'!I6</f>
        <v>0.1931306522994034</v>
      </c>
      <c r="J5" s="27">
        <f>'Historical FS'!J6</f>
        <v>3.9664876546196437E-2</v>
      </c>
      <c r="K5" s="27">
        <f>'Historical FS'!K6</f>
        <v>5.9402945715991917E-2</v>
      </c>
      <c r="L5" s="27">
        <f>'Historical FS'!L6</f>
        <v>8.9514759283120471E-2</v>
      </c>
    </row>
    <row r="6" spans="1:12" x14ac:dyDescent="0.35">
      <c r="B6" t="s">
        <v>133</v>
      </c>
      <c r="D6" s="27">
        <f>'Historical FS'!D18/'Historical FS'!C18-1</f>
        <v>5.2304294763758641E-3</v>
      </c>
      <c r="E6" s="27">
        <f>'Historical FS'!E18/'Historical FS'!D18-1</f>
        <v>7.9609180782794775E-2</v>
      </c>
      <c r="F6" s="27">
        <f>'Historical FS'!F18/'Historical FS'!E18-1</f>
        <v>7.2882082039198881E-2</v>
      </c>
      <c r="G6" s="27">
        <f>'Historical FS'!G18/'Historical FS'!F18-1</f>
        <v>0.22071375093586232</v>
      </c>
      <c r="H6" s="27">
        <f>'Historical FS'!H18/'Historical FS'!G18-1</f>
        <v>0.13783374902890788</v>
      </c>
      <c r="I6" s="27">
        <f>'Historical FS'!I18/'Historical FS'!H18-1</f>
        <v>0.10298979445163137</v>
      </c>
      <c r="J6" s="27">
        <f>'Historical FS'!J18/'Historical FS'!I18-1</f>
        <v>3.4632175669512044E-2</v>
      </c>
      <c r="K6" s="27">
        <f>'Historical FS'!K18/'Historical FS'!J18-1</f>
        <v>5.485404792644144E-2</v>
      </c>
      <c r="L6" s="27">
        <f>'Historical FS'!L18/'Historical FS'!K18-1</f>
        <v>7.5047016328845695E-2</v>
      </c>
    </row>
    <row r="7" spans="1:12" x14ac:dyDescent="0.35">
      <c r="B7" t="s">
        <v>134</v>
      </c>
      <c r="D7" s="27">
        <f>'Historical FS'!D31/'Historical FS'!C31-1</f>
        <v>5.1219769775055379E-2</v>
      </c>
      <c r="E7" s="27">
        <f>'Historical FS'!E31/'Historical FS'!D31-1</f>
        <v>9.54390194896515E-4</v>
      </c>
      <c r="F7" s="27">
        <f>'Historical FS'!F31/'Historical FS'!E31-1</f>
        <v>2.7600742710894854E-2</v>
      </c>
      <c r="G7" s="27">
        <f>'Historical FS'!G31/'Historical FS'!F31-1</f>
        <v>0.19534111442105773</v>
      </c>
      <c r="H7" s="27">
        <f>'Historical FS'!H31/'Historical FS'!G31-1</f>
        <v>0.16415410385259621</v>
      </c>
      <c r="I7" s="27">
        <f>'Historical FS'!I31/'Historical FS'!H31-1</f>
        <v>0.11047552202140731</v>
      </c>
      <c r="J7" s="27">
        <f>'Historical FS'!J31/'Historical FS'!I31-1</f>
        <v>0.13620706001327298</v>
      </c>
      <c r="K7" s="27">
        <f>'Historical FS'!K31/'Historical FS'!J31-1</f>
        <v>-1.424081439657332E-2</v>
      </c>
      <c r="L7" s="27">
        <f>'Historical FS'!L31/'Historical FS'!K31-1</f>
        <v>9.3563951355774444E-2</v>
      </c>
    </row>
    <row r="8" spans="1:12" x14ac:dyDescent="0.35">
      <c r="B8" t="s">
        <v>135</v>
      </c>
      <c r="D8" s="27">
        <f>'Historical FS'!D37/'Historical FS'!C37-1</f>
        <v>0.16912722535822833</v>
      </c>
      <c r="E8" s="27">
        <f>'Historical FS'!E37/'Historical FS'!D37-1</f>
        <v>-8.994119467657069E-2</v>
      </c>
      <c r="F8" s="27">
        <f>'Historical FS'!F37/'Historical FS'!E37-1</f>
        <v>5.7203101618827468E-2</v>
      </c>
      <c r="G8" s="27">
        <f>'Historical FS'!G37/'Historical FS'!F37-1</f>
        <v>0.16116579810847331</v>
      </c>
      <c r="H8" s="27">
        <f>'Historical FS'!H37/'Historical FS'!G37-1</f>
        <v>0.17658466312056742</v>
      </c>
      <c r="I8" s="27">
        <f>'Historical FS'!I37/'Historical FS'!H37-1</f>
        <v>9.5738168118671974E-2</v>
      </c>
      <c r="J8" s="27">
        <f>'Historical FS'!J37/'Historical FS'!I37-1</f>
        <v>0.17044868488911802</v>
      </c>
      <c r="K8" s="27">
        <f>'Historical FS'!K37/'Historical FS'!J37-1</f>
        <v>-6.1173533083645482E-2</v>
      </c>
      <c r="L8" s="27">
        <f>'Historical FS'!L37/'Historical FS'!K37-1</f>
        <v>0.14248279098873584</v>
      </c>
    </row>
    <row r="11" spans="1:12" x14ac:dyDescent="0.35">
      <c r="A11" t="s">
        <v>112</v>
      </c>
      <c r="B11" t="s">
        <v>136</v>
      </c>
      <c r="C11" s="27">
        <f>'Historical FS'!C12</f>
        <v>0.35433216954241092</v>
      </c>
      <c r="D11" s="27">
        <f>'Historical FS'!D12</f>
        <v>0.34888038617393974</v>
      </c>
      <c r="E11" s="27">
        <f>'Historical FS'!E12</f>
        <v>0.33180133229376119</v>
      </c>
      <c r="F11" s="27">
        <f>'Historical FS'!F12</f>
        <v>0.317013928422331</v>
      </c>
      <c r="G11" s="27">
        <f>'Historical FS'!G12</f>
        <v>0.32528633951019648</v>
      </c>
      <c r="H11" s="27">
        <f>'Historical FS'!H12</f>
        <v>0.30810082740042333</v>
      </c>
      <c r="I11" s="27">
        <f>'Historical FS'!I12</f>
        <v>0.28870127566242521</v>
      </c>
      <c r="J11" s="27">
        <f>'Historical FS'!J12</f>
        <v>0.28775410484515213</v>
      </c>
      <c r="K11" s="27">
        <f>'Historical FS'!K12</f>
        <v>0.28511918706805667</v>
      </c>
      <c r="L11" s="27">
        <f>'Historical FS'!L12</f>
        <v>0.28581027960139499</v>
      </c>
    </row>
    <row r="12" spans="1:12" x14ac:dyDescent="0.35">
      <c r="B12" t="s">
        <v>137</v>
      </c>
      <c r="C12" s="27">
        <f>'Historical FS'!C19</f>
        <v>0.29022246959807046</v>
      </c>
      <c r="D12" s="27">
        <f>'Historical FS'!D19</f>
        <v>0.2792496084984098</v>
      </c>
      <c r="E12" s="27">
        <f>'Historical FS'!E19</f>
        <v>0.25543381618723243</v>
      </c>
      <c r="F12" s="27">
        <f>'Historical FS'!F19</f>
        <v>0.25345680417979177</v>
      </c>
      <c r="G12" s="27">
        <f>'Historical FS'!G19</f>
        <v>0.28467501629574449</v>
      </c>
      <c r="H12" s="27">
        <f>'Historical FS'!H19</f>
        <v>0.26773138349047526</v>
      </c>
      <c r="I12" s="27">
        <f>'Historical FS'!I19</f>
        <v>0.24750431402906123</v>
      </c>
      <c r="J12" s="27">
        <f>'Historical FS'!J19</f>
        <v>0.24630622106055083</v>
      </c>
      <c r="K12" s="27">
        <f>'Historical FS'!K19</f>
        <v>0.24524862363828043</v>
      </c>
      <c r="L12" s="27">
        <f>'Historical FS'!L19</f>
        <v>0.24199194995262702</v>
      </c>
    </row>
    <row r="13" spans="1:12" x14ac:dyDescent="0.35">
      <c r="B13" t="s">
        <v>138</v>
      </c>
      <c r="C13" s="27">
        <f>'Historical FS'!C32</f>
        <v>0.31941844186948676</v>
      </c>
      <c r="D13" s="27">
        <f>'Historical FS'!D32</f>
        <v>0.32140262507870393</v>
      </c>
      <c r="E13" s="27">
        <f>'Historical FS'!E32</f>
        <v>0.27257307781744566</v>
      </c>
      <c r="F13" s="27">
        <f>'Historical FS'!F32</f>
        <v>0.25904841423456931</v>
      </c>
      <c r="G13" s="27">
        <f>'Historical FS'!G32</f>
        <v>0.28490781264549769</v>
      </c>
      <c r="H13" s="27">
        <f>'Historical FS'!H32</f>
        <v>0.27414854723879162</v>
      </c>
      <c r="I13" s="27">
        <f>'Historical FS'!I32</f>
        <v>0.25515667585917717</v>
      </c>
      <c r="J13" s="27">
        <f>'Historical FS'!J32</f>
        <v>0.27885025555908882</v>
      </c>
      <c r="K13" s="27">
        <f>'Historical FS'!K32</f>
        <v>0.25946614735855689</v>
      </c>
      <c r="L13" s="27">
        <f>'Historical FS'!L32</f>
        <v>0.26043045578857538</v>
      </c>
    </row>
    <row r="14" spans="1:12" x14ac:dyDescent="0.35">
      <c r="B14" t="s">
        <v>139</v>
      </c>
      <c r="C14" s="27">
        <f>'Historical FS'!C37/'Historical FS'!C5</f>
        <v>0.23306178211809947</v>
      </c>
      <c r="D14" s="27">
        <f>'Historical FS'!D37/'Historical FS'!D5</f>
        <v>0.26081270886811642</v>
      </c>
      <c r="E14" s="27">
        <f>'Historical FS'!E37/'Historical FS'!E5</f>
        <v>0.20110249360526353</v>
      </c>
      <c r="F14" s="27">
        <f>'Historical FS'!F37/'Historical FS'!F5</f>
        <v>0.1966298531253558</v>
      </c>
      <c r="G14" s="27">
        <f>'Historical FS'!G37/'Historical FS'!G5</f>
        <v>0.21007542601732004</v>
      </c>
      <c r="H14" s="27">
        <f>'Historical FS'!H37/'Historical FS'!H5</f>
        <v>0.20430055801423899</v>
      </c>
      <c r="I14" s="27">
        <f>'Historical FS'!I37/'Historical FS'!I5</f>
        <v>0.18762397793797475</v>
      </c>
      <c r="J14" s="27">
        <f>'Historical FS'!J37/'Historical FS'!J5</f>
        <v>0.21122598558941466</v>
      </c>
      <c r="K14" s="27">
        <f>'Historical FS'!K37/'Historical FS'!K5</f>
        <v>0.18718519386201241</v>
      </c>
      <c r="L14" s="27">
        <f>'Historical FS'!L37/'Historical FS'!L5</f>
        <v>0.19628542054441972</v>
      </c>
    </row>
    <row r="17" spans="1:12" x14ac:dyDescent="0.35">
      <c r="A17" t="s">
        <v>112</v>
      </c>
      <c r="B17" t="s">
        <v>140</v>
      </c>
      <c r="C17" s="27">
        <f>'Historical FS'!C16</f>
        <v>6.4109699944340431E-2</v>
      </c>
      <c r="D17" s="27">
        <f>'Historical FS'!D16</f>
        <v>6.9630777675529942E-2</v>
      </c>
      <c r="E17" s="27">
        <f>'Historical FS'!E16</f>
        <v>7.6367516106528782E-2</v>
      </c>
      <c r="F17" s="27">
        <f>'Historical FS'!F16</f>
        <v>6.3557124242539245E-2</v>
      </c>
      <c r="G17" s="27">
        <f>'Historical FS'!G16</f>
        <v>4.0611323214451996E-2</v>
      </c>
      <c r="H17" s="27">
        <f>'Historical FS'!H16</f>
        <v>4.0369443909948045E-2</v>
      </c>
      <c r="I17" s="27">
        <f>'Historical FS'!I16</f>
        <v>4.1196961633363977E-2</v>
      </c>
      <c r="J17" s="27">
        <f>'Historical FS'!J16</f>
        <v>4.1447883784601305E-2</v>
      </c>
      <c r="K17" s="27">
        <f>'Historical FS'!K16</f>
        <v>3.9870563429776268E-2</v>
      </c>
      <c r="L17" s="27">
        <f>'Historical FS'!L16</f>
        <v>4.3818329648767966E-2</v>
      </c>
    </row>
    <row r="18" spans="1:12" x14ac:dyDescent="0.35">
      <c r="B18" t="s">
        <v>141</v>
      </c>
      <c r="C18" s="27">
        <f>'Historical FS'!C25/'Historical FS'!C5</f>
        <v>2.2449358228339152E-2</v>
      </c>
      <c r="D18" s="27">
        <f>'Historical FS'!D25/'Historical FS'!D5</f>
        <v>2.2731308826141005E-2</v>
      </c>
      <c r="E18" s="27">
        <f>'Historical FS'!E25/'Historical FS'!E5</f>
        <v>2.1872050556034306E-2</v>
      </c>
      <c r="F18" s="27">
        <f>'Historical FS'!F25/'Historical FS'!F5</f>
        <v>2.7123103976115476E-2</v>
      </c>
      <c r="G18" s="27">
        <f>'Historical FS'!G25/'Historical FS'!G5</f>
        <v>2.7016016388863022E-2</v>
      </c>
      <c r="H18" s="27">
        <f>'Historical FS'!H25/'Historical FS'!H5</f>
        <v>2.3369251491244948E-2</v>
      </c>
      <c r="I18" s="27">
        <f>'Historical FS'!I25/'Historical FS'!I5</f>
        <v>2.2199106552486008E-2</v>
      </c>
      <c r="J18" s="27">
        <f>'Historical FS'!J25/'Historical FS'!J5</f>
        <v>2.2833564719660599E-2</v>
      </c>
      <c r="K18" s="27">
        <f>'Historical FS'!K25/'Historical FS'!K5</f>
        <v>1.9173890125336768E-2</v>
      </c>
      <c r="L18" s="27">
        <f>'Historical FS'!L25/'Historical FS'!L5</f>
        <v>1.608665560177128E-2</v>
      </c>
    </row>
    <row r="19" spans="1:12" x14ac:dyDescent="0.35">
      <c r="B19" t="s">
        <v>142</v>
      </c>
      <c r="C19" s="27">
        <f>'Historical FS'!C19</f>
        <v>0.29022246959807046</v>
      </c>
      <c r="D19" s="27">
        <f>'Historical FS'!D19</f>
        <v>0.2792496084984098</v>
      </c>
      <c r="E19" s="27">
        <f>'Historical FS'!E19</f>
        <v>0.25543381618723243</v>
      </c>
      <c r="F19" s="27">
        <f>'Historical FS'!F19</f>
        <v>0.25345680417979177</v>
      </c>
      <c r="G19" s="27">
        <f>'Historical FS'!G19</f>
        <v>0.28467501629574449</v>
      </c>
      <c r="H19" s="27">
        <f>'Historical FS'!H19</f>
        <v>0.26773138349047526</v>
      </c>
      <c r="I19" s="27">
        <f>'Historical FS'!I19</f>
        <v>0.24750431402906123</v>
      </c>
      <c r="J19" s="27">
        <f>'Historical FS'!J19</f>
        <v>0.24630622106055083</v>
      </c>
      <c r="K19" s="27">
        <f>'Historical FS'!K19</f>
        <v>0.24524862363828043</v>
      </c>
      <c r="L19" s="27">
        <f>'Historical FS'!L19</f>
        <v>0.24199194995262702</v>
      </c>
    </row>
    <row r="22" spans="1:12" x14ac:dyDescent="0.35">
      <c r="B22" t="s">
        <v>158</v>
      </c>
      <c r="C22" s="26">
        <f>'Historical FS'!C18-'Historical FS'!C25+'Historical FS'!C28</f>
        <v>18938</v>
      </c>
      <c r="D22" s="26">
        <f>'Historical FS'!D18-'Historical FS'!D25+'Historical FS'!D28</f>
        <v>19908</v>
      </c>
      <c r="E22" s="26">
        <f>'Historical FS'!E18-'Historical FS'!E25+'Historical FS'!E28</f>
        <v>19927</v>
      </c>
      <c r="F22" s="26">
        <f>'Historical FS'!F18-'Historical FS'!F25+'Historical FS'!F28</f>
        <v>20591</v>
      </c>
      <c r="G22" s="26">
        <f>'Historical FS'!G18-'Historical FS'!G25+'Historical FS'!G28</f>
        <v>24603</v>
      </c>
      <c r="H22" s="26">
        <f>'Historical FS'!H18-'Historical FS'!H25+'Historical FS'!H28</f>
        <v>28623</v>
      </c>
      <c r="I22" s="26">
        <f>'Historical FS'!I18-'Historical FS'!I25+'Historical FS'!I28</f>
        <v>31800</v>
      </c>
      <c r="J22" s="26">
        <f>'Historical FS'!J18-'Historical FS'!J25+'Historical FS'!J28</f>
        <v>36230</v>
      </c>
      <c r="K22" s="26">
        <f>'Historical FS'!K18-'Historical FS'!K25+'Historical FS'!K28</f>
        <v>35662</v>
      </c>
      <c r="L22" s="26">
        <f>'Historical FS'!L18-'Historical FS'!L25+'Historical FS'!L28</f>
        <v>38964</v>
      </c>
    </row>
    <row r="23" spans="1:12" x14ac:dyDescent="0.35">
      <c r="B23" t="s">
        <v>159</v>
      </c>
      <c r="C23" s="26">
        <f>SUM('Historical FS'!C45:C47)</f>
        <v>68017</v>
      </c>
      <c r="D23" s="26">
        <f>SUM('Historical FS'!D45:D47)</f>
        <v>63502</v>
      </c>
      <c r="E23" s="26">
        <f>SUM('Historical FS'!E45:E47)</f>
        <v>62711</v>
      </c>
      <c r="F23" s="26">
        <f>SUM('Historical FS'!F45:F47)</f>
        <v>65399</v>
      </c>
      <c r="G23" s="26">
        <f>SUM('Historical FS'!G45:G47)</f>
        <v>75385</v>
      </c>
      <c r="H23" s="26">
        <f>SUM('Historical FS'!H45:H47)</f>
        <v>73092</v>
      </c>
      <c r="I23" s="26">
        <f>SUM('Historical FS'!I45:I47)</f>
        <v>72011</v>
      </c>
      <c r="J23" s="26">
        <f>SUM('Historical FS'!J45:J47)</f>
        <v>84942</v>
      </c>
      <c r="K23" s="26">
        <f>SUM('Historical FS'!K45:K47)</f>
        <v>90791</v>
      </c>
      <c r="L23" s="26">
        <f>SUM('Historical FS'!L45:L47)</f>
        <v>84623</v>
      </c>
    </row>
    <row r="24" spans="1:12" x14ac:dyDescent="0.35">
      <c r="A24" t="s">
        <v>112</v>
      </c>
      <c r="B24" t="s">
        <v>143</v>
      </c>
      <c r="C24" s="27">
        <f>C22/C23</f>
        <v>0.27843039240189954</v>
      </c>
      <c r="D24" s="27">
        <f t="shared" ref="D24:L24" si="0">D22/D23</f>
        <v>0.31350193694686779</v>
      </c>
      <c r="E24" s="27">
        <f t="shared" si="0"/>
        <v>0.31775924478959033</v>
      </c>
      <c r="F24" s="27">
        <f t="shared" si="0"/>
        <v>0.31485190905059712</v>
      </c>
      <c r="G24" s="27">
        <f t="shared" si="0"/>
        <v>0.32636466140478876</v>
      </c>
      <c r="H24" s="27">
        <f t="shared" si="0"/>
        <v>0.39160236414381877</v>
      </c>
      <c r="I24" s="27">
        <f t="shared" si="0"/>
        <v>0.44159920012220355</v>
      </c>
      <c r="J24" s="27">
        <f t="shared" si="0"/>
        <v>0.42652633561724473</v>
      </c>
      <c r="K24" s="27">
        <f t="shared" si="0"/>
        <v>0.39279223711601369</v>
      </c>
      <c r="L24" s="27">
        <f t="shared" si="0"/>
        <v>0.46044219656594543</v>
      </c>
    </row>
    <row r="25" spans="1:12" x14ac:dyDescent="0.35">
      <c r="B25" t="s">
        <v>144</v>
      </c>
      <c r="C25" s="27">
        <f>'Historical FS'!C41</f>
        <v>0.57213779128672748</v>
      </c>
      <c r="D25" s="27">
        <f>'Historical FS'!D41</f>
        <v>0.41192200557103065</v>
      </c>
      <c r="E25" s="27">
        <f>'Historical FS'!E41</f>
        <v>0.36298462794177666</v>
      </c>
      <c r="F25" s="27">
        <f>'Historical FS'!F41</f>
        <v>0.52058804606575304</v>
      </c>
      <c r="G25" s="27">
        <f>'Historical FS'!G41</f>
        <v>0.36269946808510634</v>
      </c>
      <c r="H25" s="27">
        <f>'Historical FS'!H41</f>
        <v>0.38598540145985405</v>
      </c>
      <c r="I25" s="27">
        <f>'Historical FS'!I41</f>
        <v>0.39388000687639668</v>
      </c>
      <c r="J25" s="27">
        <f>'Historical FS'!J41</f>
        <v>0.29903796724682385</v>
      </c>
      <c r="K25" s="27">
        <f>'Historical FS'!K41</f>
        <v>0.30172090112640804</v>
      </c>
      <c r="L25" s="27">
        <f>'Historical FS'!L41</f>
        <v>0.33383999178391699</v>
      </c>
    </row>
    <row r="26" spans="1:12" x14ac:dyDescent="0.35">
      <c r="B26" t="s">
        <v>145</v>
      </c>
      <c r="C26" s="27">
        <f>'Historical FS'!C37/(SUM('Historical FS'!C45:C46))</f>
        <v>0.20315509357954628</v>
      </c>
      <c r="D26" s="27">
        <f>'Historical FS'!D37/(SUM('Historical FS'!D45:D46))</f>
        <v>0.25440143617523858</v>
      </c>
      <c r="E26" s="27">
        <f>'Historical FS'!E37/(SUM('Historical FS'!E45:E46))</f>
        <v>0.23444052877485608</v>
      </c>
      <c r="F26" s="27">
        <f>'Historical FS'!F37/(SUM('Historical FS'!F45:F46))</f>
        <v>0.24975094000064274</v>
      </c>
      <c r="G26" s="27">
        <f>'Historical FS'!G37/(SUM('Historical FS'!G45:G46))</f>
        <v>0.25231018719156728</v>
      </c>
      <c r="H26" s="27">
        <f>'Historical FS'!H37/(SUM('Historical FS'!H45:H46))</f>
        <v>0.30639482873055723</v>
      </c>
      <c r="I26" s="27">
        <f>'Historical FS'!I37/(SUM('Historical FS'!I45:I46))</f>
        <v>0.34346446232194255</v>
      </c>
      <c r="J26" s="27">
        <f>'Historical FS'!J37/(SUM('Historical FS'!J45:J46))</f>
        <v>0.33549324923622748</v>
      </c>
      <c r="K26" s="27">
        <f>'Historical FS'!K37/(SUM('Historical FS'!K45:K46))</f>
        <v>0.29276782851646588</v>
      </c>
      <c r="L26" s="27">
        <f>'Historical FS'!L37/(SUM('Historical FS'!L45:L46))</f>
        <v>0.36119148304770382</v>
      </c>
    </row>
    <row r="27" spans="1:12" x14ac:dyDescent="0.35">
      <c r="B27" t="s">
        <v>146</v>
      </c>
      <c r="C27" s="27">
        <f>C25*C26</f>
        <v>0.11623270652925004</v>
      </c>
      <c r="D27" s="27">
        <f t="shared" ref="D27:L27" si="1">D25*D26</f>
        <v>0.10479354980945482</v>
      </c>
      <c r="E27" s="27">
        <f t="shared" si="1"/>
        <v>8.5098308111814513E-2</v>
      </c>
      <c r="F27" s="27">
        <f t="shared" si="1"/>
        <v>0.13001735385801971</v>
      </c>
      <c r="G27" s="27">
        <f t="shared" si="1"/>
        <v>9.1512770686835068E-2</v>
      </c>
      <c r="H27" s="27">
        <f t="shared" si="1"/>
        <v>0.11826393097278735</v>
      </c>
      <c r="I27" s="27">
        <f t="shared" si="1"/>
        <v>0.13528378478116462</v>
      </c>
      <c r="J27" s="27">
        <f t="shared" si="1"/>
        <v>0.1003252192766335</v>
      </c>
      <c r="K27" s="27">
        <f t="shared" si="1"/>
        <v>8.8334173040809788E-2</v>
      </c>
      <c r="L27" s="27">
        <f t="shared" si="1"/>
        <v>0.12058016173306624</v>
      </c>
    </row>
    <row r="28" spans="1:12" x14ac:dyDescent="0.35">
      <c r="B28" t="s">
        <v>147</v>
      </c>
      <c r="C28" s="38" t="str">
        <f>IFERROR('Ratio Analysis'!C22/'Historical FS'!C22,"N.A")</f>
        <v>N.A</v>
      </c>
      <c r="D28" s="38" t="str">
        <f>IFERROR('Ratio Analysis'!D22/'Historical FS'!D22,"N.A")</f>
        <v>N.A</v>
      </c>
      <c r="E28" s="38" t="str">
        <f>IFERROR('Ratio Analysis'!E22/'Historical FS'!E22,"N.A")</f>
        <v>N.A</v>
      </c>
      <c r="F28" s="39">
        <f>IFERROR('Ratio Analysis'!F22/'Historical FS'!F22,"N.A")</f>
        <v>180.62280701754386</v>
      </c>
      <c r="G28" s="39">
        <f>IFERROR('Ratio Analysis'!G22/'Historical FS'!G22,"N.A")</f>
        <v>195.26190476190476</v>
      </c>
      <c r="H28" s="39">
        <f>IFERROR('Ratio Analysis'!H22/'Historical FS'!H22,"N.A")</f>
        <v>223.6171875</v>
      </c>
      <c r="I28" s="39">
        <f>IFERROR('Ratio Analysis'!I22/'Historical FS'!I22,"N.A")</f>
        <v>202.54777070063693</v>
      </c>
      <c r="J28" s="39">
        <f>IFERROR('Ratio Analysis'!J22/'Historical FS'!J22,"N.A")</f>
        <v>130.79422382671481</v>
      </c>
      <c r="K28" s="39">
        <f>IFERROR('Ratio Analysis'!K22/'Historical FS'!K22,"N.A")</f>
        <v>161.36651583710406</v>
      </c>
      <c r="L28" s="39">
        <f>IFERROR('Ratio Analysis'!L22/'Historical FS'!L22,"N.A")</f>
        <v>188.231884057971</v>
      </c>
    </row>
    <row r="31" spans="1:12" x14ac:dyDescent="0.35">
      <c r="A31" t="s">
        <v>112</v>
      </c>
      <c r="B31" t="s">
        <v>163</v>
      </c>
      <c r="C31" s="40">
        <f>'Historical FS'!C5/'Historical FS'!C59</f>
        <v>5.4095802919708031</v>
      </c>
      <c r="D31" s="40">
        <f>'Historical FS'!D5/'Historical FS'!D59</f>
        <v>5.097605135379804</v>
      </c>
      <c r="E31" s="40">
        <f>'Historical FS'!E5/'Historical FS'!E59</f>
        <v>5.4679880329094992</v>
      </c>
      <c r="F31" s="40">
        <f>'Historical FS'!F5/'Historical FS'!F59</f>
        <v>5.1133320395885891</v>
      </c>
      <c r="G31" s="40">
        <f>'Historical FS'!G5/'Historical FS'!G59</f>
        <v>5.2404538245699648</v>
      </c>
      <c r="H31" s="40">
        <f>'Historical FS'!H5/'Historical FS'!H59</f>
        <v>5.4803332278814718</v>
      </c>
      <c r="I31" s="40">
        <f>'Historical FS'!I5/'Historical FS'!I59</f>
        <v>5.9699610070764937</v>
      </c>
      <c r="J31" s="40">
        <f>'Historical FS'!J5/'Historical FS'!J59</f>
        <v>5.1261529898218834</v>
      </c>
      <c r="K31" s="40">
        <f>'Historical FS'!K5/'Historical FS'!K59</f>
        <v>5.1713928747207811</v>
      </c>
      <c r="L31" s="40">
        <f>'Historical FS'!L5/'Historical FS'!L59</f>
        <v>4.9055279032204897</v>
      </c>
    </row>
    <row r="32" spans="1:12" x14ac:dyDescent="0.35">
      <c r="B32" t="s">
        <v>148</v>
      </c>
      <c r="C32" s="40">
        <f>'Historical FS'!C8/'Balance sheet'!C19</f>
        <v>308.71774193548384</v>
      </c>
      <c r="D32" s="40">
        <f>'Historical FS'!D8/'Balance sheet'!D19</f>
        <v>64.736757624398081</v>
      </c>
      <c r="E32" s="40">
        <f>'Historical FS'!E8/'Balance sheet'!E19</f>
        <v>181.59851301115242</v>
      </c>
      <c r="F32" s="40">
        <f>'Historical FS'!F8/'Balance sheet'!F19</f>
        <v>73.154471544715449</v>
      </c>
      <c r="G32" s="40">
        <f>'Historical FS'!G8/'Balance sheet'!G19</f>
        <v>36.138403990024941</v>
      </c>
      <c r="H32" s="40">
        <f>'Historical FS'!H8/'Balance sheet'!H19</f>
        <v>47.034663178548072</v>
      </c>
      <c r="I32" s="40">
        <f>'Historical FS'!I8/'Balance sheet'!I19</f>
        <v>56.473111395646605</v>
      </c>
      <c r="J32" s="40">
        <f>'Historical FS'!J8/'Balance sheet'!J19</f>
        <v>34.406893967778196</v>
      </c>
      <c r="K32" s="40">
        <f>'Historical FS'!K8/'Balance sheet'!K19</f>
        <v>40.250206100577081</v>
      </c>
      <c r="L32" s="40">
        <f>'Historical FS'!L8/'Balance sheet'!L19</f>
        <v>42.633373445647813</v>
      </c>
    </row>
    <row r="33" spans="1:12" x14ac:dyDescent="0.35">
      <c r="B33" t="s">
        <v>149</v>
      </c>
    </row>
    <row r="34" spans="1:12" x14ac:dyDescent="0.35">
      <c r="B34" t="s">
        <v>150</v>
      </c>
      <c r="C34" s="40">
        <f>'Historical FS'!C5/'Historical FS'!C53</f>
        <v>6.8900639163277164</v>
      </c>
      <c r="D34" s="40">
        <f>'Historical FS'!D5/'Historical FS'!D53</f>
        <v>6.7643332969313095</v>
      </c>
      <c r="E34" s="40">
        <f>'Historical FS'!E5/'Historical FS'!E53</f>
        <v>6.9645613032294937</v>
      </c>
      <c r="F34" s="40">
        <f>'Historical FS'!F5/'Historical FS'!F53</f>
        <v>5.6567196221554319</v>
      </c>
      <c r="G34" s="40">
        <f>'Historical FS'!G5/'Historical FS'!G53</f>
        <v>5.8847866292211792</v>
      </c>
      <c r="H34" s="40">
        <f>'Historical FS'!H5/'Historical FS'!H53</f>
        <v>6.9580934529388134</v>
      </c>
      <c r="I34" s="40">
        <f>'Historical FS'!I5/'Historical FS'!I53</f>
        <v>8.036679411574104</v>
      </c>
      <c r="J34" s="40">
        <f>'Historical FS'!J5/'Historical FS'!J53</f>
        <v>8.9993020171703773</v>
      </c>
      <c r="K34" s="40">
        <f>'Historical FS'!K5/'Historical FS'!K53</f>
        <v>10.224717418968485</v>
      </c>
      <c r="L34" s="40">
        <f>'Historical FS'!L5/'Historical FS'!L53</f>
        <v>10.755926568372361</v>
      </c>
    </row>
    <row r="37" spans="1:12" x14ac:dyDescent="0.35">
      <c r="A37" t="s">
        <v>112</v>
      </c>
      <c r="B37" s="22" t="s">
        <v>151</v>
      </c>
    </row>
    <row r="38" spans="1:12" x14ac:dyDescent="0.35">
      <c r="B38" t="s">
        <v>152</v>
      </c>
      <c r="C38" s="8">
        <f>360/C31</f>
        <v>66.548600920912818</v>
      </c>
      <c r="D38" s="8">
        <f t="shared" ref="D38:L39" si="2">360/D31</f>
        <v>70.621397781760066</v>
      </c>
      <c r="E38" s="8">
        <f t="shared" si="2"/>
        <v>65.837744675612456</v>
      </c>
      <c r="F38" s="8">
        <f t="shared" si="2"/>
        <v>70.404189912330637</v>
      </c>
      <c r="G38" s="8">
        <f t="shared" si="2"/>
        <v>68.696340441381878</v>
      </c>
      <c r="H38" s="8">
        <f t="shared" si="2"/>
        <v>65.689436213199926</v>
      </c>
      <c r="I38" s="8">
        <f t="shared" si="2"/>
        <v>60.301901398229234</v>
      </c>
      <c r="J38" s="8">
        <f t="shared" si="2"/>
        <v>70.22810296820829</v>
      </c>
      <c r="K38" s="8">
        <f t="shared" si="2"/>
        <v>69.613740189762211</v>
      </c>
      <c r="L38" s="8">
        <f t="shared" si="2"/>
        <v>73.386597141494036</v>
      </c>
    </row>
    <row r="39" spans="1:12" x14ac:dyDescent="0.35">
      <c r="B39" t="s">
        <v>153</v>
      </c>
      <c r="C39" s="8">
        <f>360/C32</f>
        <v>1.1661137378856352</v>
      </c>
      <c r="D39" s="8">
        <f t="shared" si="2"/>
        <v>5.5609828667774162</v>
      </c>
      <c r="E39" s="8">
        <f t="shared" si="2"/>
        <v>1.9823950870010234</v>
      </c>
      <c r="F39" s="8">
        <f t="shared" si="2"/>
        <v>4.9210935763502999</v>
      </c>
      <c r="G39" s="8">
        <f t="shared" si="2"/>
        <v>9.9617016871959425</v>
      </c>
      <c r="H39" s="8">
        <f t="shared" si="2"/>
        <v>7.6539295845152679</v>
      </c>
      <c r="I39" s="8">
        <f t="shared" si="2"/>
        <v>6.3747151715772414</v>
      </c>
      <c r="J39" s="8">
        <f t="shared" si="2"/>
        <v>10.463019426779336</v>
      </c>
      <c r="K39" s="8">
        <f t="shared" si="2"/>
        <v>8.9440535807551687</v>
      </c>
      <c r="L39" s="8">
        <f t="shared" si="2"/>
        <v>8.4440890059745026</v>
      </c>
    </row>
    <row r="40" spans="1:12" x14ac:dyDescent="0.35">
      <c r="B40" t="s">
        <v>41</v>
      </c>
    </row>
    <row r="41" spans="1:12" x14ac:dyDescent="0.35">
      <c r="B41" t="s">
        <v>154</v>
      </c>
    </row>
    <row r="44" spans="1:12" x14ac:dyDescent="0.35">
      <c r="A44" t="s">
        <v>112</v>
      </c>
      <c r="B44" t="s">
        <v>155</v>
      </c>
      <c r="C44" s="27">
        <f>'Historical FS'!C74/'Historical FS'!C5</f>
        <v>0.17672755485840544</v>
      </c>
      <c r="D44" s="27">
        <f>'Historical FS'!D74/'Historical FS'!D5</f>
        <v>0.20140133352706607</v>
      </c>
      <c r="E44" s="27">
        <f>'Historical FS'!E74/'Historical FS'!E5</f>
        <v>0.19134966555870164</v>
      </c>
      <c r="F44" s="27">
        <f>'Historical FS'!F74/'Historical FS'!F5</f>
        <v>0.19699672346831631</v>
      </c>
      <c r="G44" s="27">
        <f>'Historical FS'!G74/'Historical FS'!G5</f>
        <v>0.23165564763944502</v>
      </c>
      <c r="H44" s="27">
        <f>'Historical FS'!H74/'Historical FS'!H5</f>
        <v>0.21258418318260536</v>
      </c>
      <c r="I44" s="27">
        <f>'Historical FS'!I74/'Historical FS'!I5</f>
        <v>0.15457125808376473</v>
      </c>
      <c r="J44" s="27">
        <f>'Historical FS'!J74/'Historical FS'!J5</f>
        <v>0.16122327100121769</v>
      </c>
      <c r="K44" s="27">
        <f>'Historical FS'!K74/'Historical FS'!K5</f>
        <v>0.21530543516457773</v>
      </c>
      <c r="L44" s="27">
        <f>'Historical FS'!L74/'Historical FS'!L5</f>
        <v>0.1892500285581814</v>
      </c>
    </row>
    <row r="45" spans="1:12" x14ac:dyDescent="0.35">
      <c r="B45" t="s">
        <v>156</v>
      </c>
      <c r="C45" s="27">
        <f>'Historical FS'!C74/'Historical FS'!C66</f>
        <v>0.13116354759967452</v>
      </c>
      <c r="D45" s="27">
        <f>'Historical FS'!D74/'Historical FS'!D66</f>
        <v>0.16551239186965983</v>
      </c>
      <c r="E45" s="27">
        <f>'Historical FS'!E74/'Historical FS'!E66</f>
        <v>0.17845616094094835</v>
      </c>
      <c r="F45" s="27">
        <f>'Historical FS'!F74/'Historical FS'!F66</f>
        <v>0.1934770454121886</v>
      </c>
      <c r="G45" s="27">
        <f>'Historical FS'!G74/'Historical FS'!G66</f>
        <v>0.21301965149633942</v>
      </c>
      <c r="H45" s="27">
        <f>'Historical FS'!H74/'Historical FS'!H66</f>
        <v>0.22422016114301951</v>
      </c>
      <c r="I45" s="27">
        <f>'Historical FS'!I74/'Historical FS'!I66</f>
        <v>0.19062630521688975</v>
      </c>
      <c r="J45" s="27">
        <f>'Historical FS'!J74/'Historical FS'!J66</f>
        <v>0.1808351457155285</v>
      </c>
      <c r="K45" s="27">
        <f>'Historical FS'!K74/'Historical FS'!K66</f>
        <v>0.23633266098248942</v>
      </c>
      <c r="L45" s="27">
        <f>'Historical FS'!L74/'Historical FS'!L66</f>
        <v>0.2240554967740909</v>
      </c>
    </row>
    <row r="46" spans="1:12" x14ac:dyDescent="0.35">
      <c r="B46" t="s">
        <v>157</v>
      </c>
      <c r="C46" s="41" t="str">
        <f>IFERROR('Historical FS'!C74/'Historical FS'!C47,"N.A")</f>
        <v>N.A</v>
      </c>
      <c r="D46" s="41" t="str">
        <f>IFERROR('Historical FS'!D74/'Historical FS'!D47,"N.A")</f>
        <v>N.A</v>
      </c>
      <c r="E46" s="41" t="str">
        <f>IFERROR('Historical FS'!E74/'Historical FS'!E47,"N.A")</f>
        <v>N.A</v>
      </c>
      <c r="F46" s="41">
        <f>IFERROR('Historical FS'!F74/'Historical FS'!F47,"N.A")</f>
        <v>4.9200631911532389</v>
      </c>
      <c r="G46" s="41">
        <f>IFERROR('Historical FS'!G74/'Historical FS'!G47,"N.A")</f>
        <v>5.1639854696419301</v>
      </c>
      <c r="H46" s="41">
        <f>IFERROR('Historical FS'!H74/'Historical FS'!H47,"N.A")</f>
        <v>5.8362387744321182</v>
      </c>
      <c r="I46" s="41">
        <f>IFERROR('Historical FS'!I74/'Historical FS'!I47,"N.A")</f>
        <v>4.4934364744491324</v>
      </c>
      <c r="J46" s="41">
        <f>IFERROR('Historical FS'!J74/'Historical FS'!J47,"N.A")</f>
        <v>5.5196494954859263</v>
      </c>
      <c r="K46" s="41">
        <f>IFERROR('Historical FS'!K74/'Historical FS'!K47,"N.A")</f>
        <v>8.5021682567215962</v>
      </c>
      <c r="L46" s="41">
        <f>IFERROR('Historical FS'!L74/'Historical FS'!L47,"N.A")</f>
        <v>7.5124033075486798</v>
      </c>
    </row>
  </sheetData>
  <mergeCells count="1">
    <mergeCell ref="B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E083-7B7E-4389-BD4C-EE3822EF8B0B}">
  <dimension ref="B2:L8"/>
  <sheetViews>
    <sheetView showGridLines="0" workbookViewId="0">
      <selection activeCell="C5" sqref="C5"/>
    </sheetView>
  </sheetViews>
  <sheetFormatPr defaultRowHeight="14.5" x14ac:dyDescent="0.35"/>
  <cols>
    <col min="2" max="2" width="26.453125" customWidth="1"/>
  </cols>
  <sheetData>
    <row r="2" spans="2:12" x14ac:dyDescent="0.35">
      <c r="B2" s="107" t="str">
        <f>'DATA Sheet'!B1&amp;" Dupont"</f>
        <v>INFOSYS LTD Dupont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2:12" x14ac:dyDescent="0.35">
      <c r="B3" s="20" t="s">
        <v>101</v>
      </c>
      <c r="C3" s="21" t="s">
        <v>102</v>
      </c>
      <c r="D3" s="21" t="s">
        <v>103</v>
      </c>
      <c r="E3" s="21" t="s">
        <v>104</v>
      </c>
      <c r="F3" s="21" t="s">
        <v>105</v>
      </c>
      <c r="G3" s="21" t="s">
        <v>106</v>
      </c>
      <c r="H3" s="21" t="s">
        <v>107</v>
      </c>
      <c r="I3" s="21" t="s">
        <v>108</v>
      </c>
      <c r="J3" s="21" t="s">
        <v>109</v>
      </c>
      <c r="K3" s="21" t="s">
        <v>110</v>
      </c>
      <c r="L3" s="21" t="s">
        <v>111</v>
      </c>
    </row>
    <row r="4" spans="2:12" x14ac:dyDescent="0.35">
      <c r="B4" t="s">
        <v>273</v>
      </c>
      <c r="C4" s="27">
        <f>'Ratio Analysis'!C14</f>
        <v>0.23306178211809947</v>
      </c>
      <c r="D4" s="27">
        <f>'Ratio Analysis'!D14</f>
        <v>0.26081270886811642</v>
      </c>
      <c r="E4" s="27">
        <f>'Ratio Analysis'!E14</f>
        <v>0.20110249360526353</v>
      </c>
      <c r="F4" s="27">
        <f>'Ratio Analysis'!F14</f>
        <v>0.1966298531253558</v>
      </c>
      <c r="G4" s="27">
        <f>'Ratio Analysis'!G14</f>
        <v>0.21007542601732004</v>
      </c>
      <c r="H4" s="27">
        <f>'Ratio Analysis'!H14</f>
        <v>0.20430055801423899</v>
      </c>
      <c r="I4" s="27">
        <f>'Ratio Analysis'!I14</f>
        <v>0.18762397793797475</v>
      </c>
      <c r="J4" s="27">
        <f>'Ratio Analysis'!J14</f>
        <v>0.21122598558941466</v>
      </c>
      <c r="K4" s="27">
        <f>'Ratio Analysis'!K14</f>
        <v>0.18718519386201241</v>
      </c>
      <c r="L4" s="27">
        <f>'Ratio Analysis'!L14</f>
        <v>0.19628542054441972</v>
      </c>
    </row>
    <row r="5" spans="2:12" x14ac:dyDescent="0.35">
      <c r="B5" t="s">
        <v>274</v>
      </c>
      <c r="C5" s="40">
        <f>'Historical FS'!C5/'Historical FS'!C66</f>
        <v>0.74217938286286533</v>
      </c>
      <c r="D5" s="40">
        <f>'Historical FS'!D5/'Historical FS'!D66</f>
        <v>0.82180385288966729</v>
      </c>
      <c r="E5" s="40">
        <f>'Historical FS'!E5/'Historical FS'!E66</f>
        <v>0.9326180969268647</v>
      </c>
      <c r="F5" s="40">
        <f>'Historical FS'!F5/'Historical FS'!F66</f>
        <v>0.98213331676709947</v>
      </c>
      <c r="G5" s="40">
        <f>'Historical FS'!G5/'Historical FS'!G66</f>
        <v>0.91955302478914247</v>
      </c>
      <c r="H5" s="40">
        <f>'Historical FS'!H5/'Historical FS'!H66</f>
        <v>1.0547358593956122</v>
      </c>
      <c r="I5" s="40">
        <f>'Historical FS'!I5/'Historical FS'!I66</f>
        <v>1.2332584180274071</v>
      </c>
      <c r="J5" s="40">
        <f>'Historical FS'!J5/'Historical FS'!J66</f>
        <v>1.1216441931274468</v>
      </c>
      <c r="K5" s="40">
        <f>'Historical FS'!K5/'Historical FS'!K66</f>
        <v>1.0976623084402799</v>
      </c>
      <c r="L5" s="40">
        <f>'Historical FS'!L5/'Historical FS'!L66</f>
        <v>1.1839126180380426</v>
      </c>
    </row>
    <row r="6" spans="2:12" x14ac:dyDescent="0.35">
      <c r="B6" t="s">
        <v>275</v>
      </c>
      <c r="C6" s="40">
        <f>'Historical FS'!C66/SUM('Historical FS'!C45:C46)</f>
        <v>1.1744857903171266</v>
      </c>
      <c r="D6" s="40">
        <f>'Historical FS'!D66/SUM('Historical FS'!D45:D46)</f>
        <v>1.1869232465119208</v>
      </c>
      <c r="E6" s="40">
        <f>'Historical FS'!E66/SUM('Historical FS'!E45:E46)</f>
        <v>1.2500039865414361</v>
      </c>
      <c r="F6" s="40">
        <f>'Historical FS'!F66/SUM('Historical FS'!F45:F46)</f>
        <v>1.2932641321464151</v>
      </c>
      <c r="G6" s="40">
        <f>'Historical FS'!G66/SUM('Historical FS'!G45:G46)</f>
        <v>1.3061190253176944</v>
      </c>
      <c r="H6" s="40">
        <f>'Historical FS'!H66/SUM('Historical FS'!H45:H46)</f>
        <v>1.4218970940466915</v>
      </c>
      <c r="I6" s="40">
        <f>'Historical FS'!I66/SUM('Historical FS'!I45:I46)</f>
        <v>1.4843604694073362</v>
      </c>
      <c r="J6" s="40">
        <f>'Historical FS'!J66/SUM('Historical FS'!J45:J46)</f>
        <v>1.4160589336749778</v>
      </c>
      <c r="K6" s="40">
        <f>'Historical FS'!K66/SUM('Historical FS'!K45:K46)</f>
        <v>1.4248957999358769</v>
      </c>
      <c r="L6" s="40">
        <f>'Historical FS'!L66/SUM('Historical FS'!L45:L46)</f>
        <v>1.5542819694833938</v>
      </c>
    </row>
    <row r="7" spans="2:12" ht="15" thickBot="1" x14ac:dyDescent="0.4"/>
    <row r="8" spans="2:12" ht="15" thickBot="1" x14ac:dyDescent="0.4">
      <c r="B8" s="32" t="s">
        <v>145</v>
      </c>
      <c r="C8" s="90">
        <f>PRODUCT(C4:C6)</f>
        <v>0.20315509357954628</v>
      </c>
      <c r="D8" s="90">
        <f t="shared" ref="D8:L8" si="0">PRODUCT(D4:D6)</f>
        <v>0.25440143617523858</v>
      </c>
      <c r="E8" s="90">
        <f t="shared" si="0"/>
        <v>0.23444052877485608</v>
      </c>
      <c r="F8" s="90">
        <f t="shared" si="0"/>
        <v>0.24975094000064274</v>
      </c>
      <c r="G8" s="90">
        <f t="shared" si="0"/>
        <v>0.25231018719156728</v>
      </c>
      <c r="H8" s="90">
        <f t="shared" si="0"/>
        <v>0.30639482873055729</v>
      </c>
      <c r="I8" s="90">
        <f t="shared" si="0"/>
        <v>0.34346446232194255</v>
      </c>
      <c r="J8" s="90">
        <f t="shared" si="0"/>
        <v>0.33549324923622748</v>
      </c>
      <c r="K8" s="90">
        <f t="shared" si="0"/>
        <v>0.29276782851646588</v>
      </c>
      <c r="L8" s="90">
        <f t="shared" si="0"/>
        <v>0.36119148304770377</v>
      </c>
    </row>
  </sheetData>
  <mergeCells count="1">
    <mergeCell ref="B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DA95-C8C3-4573-BF7F-ECED4477C6FA}">
  <dimension ref="B2:M17"/>
  <sheetViews>
    <sheetView showGridLines="0" workbookViewId="0">
      <selection activeCell="B3" sqref="B3"/>
    </sheetView>
  </sheetViews>
  <sheetFormatPr defaultRowHeight="14.5" x14ac:dyDescent="0.35"/>
  <cols>
    <col min="1" max="1" width="1.81640625" customWidth="1"/>
    <col min="2" max="2" width="39" bestFit="1" customWidth="1"/>
  </cols>
  <sheetData>
    <row r="2" spans="2:13" x14ac:dyDescent="0.35">
      <c r="B2" s="108" t="str">
        <f>'DATA Sheet'!B1&amp;" KPIs"</f>
        <v>INFOSYS LTD KPIs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</row>
    <row r="3" spans="2:13" x14ac:dyDescent="0.35">
      <c r="B3" s="87" t="s">
        <v>165</v>
      </c>
      <c r="C3" s="88" t="s">
        <v>166</v>
      </c>
      <c r="D3" s="88" t="s">
        <v>102</v>
      </c>
      <c r="E3" s="88" t="s">
        <v>103</v>
      </c>
      <c r="F3" s="88" t="s">
        <v>104</v>
      </c>
      <c r="G3" s="88" t="s">
        <v>105</v>
      </c>
      <c r="H3" s="88" t="s">
        <v>106</v>
      </c>
      <c r="I3" s="88" t="s">
        <v>107</v>
      </c>
      <c r="J3" s="88" t="s">
        <v>108</v>
      </c>
      <c r="K3" s="88" t="s">
        <v>109</v>
      </c>
      <c r="L3" s="88" t="s">
        <v>110</v>
      </c>
      <c r="M3" s="88" t="s">
        <v>111</v>
      </c>
    </row>
    <row r="4" spans="2:13" x14ac:dyDescent="0.35">
      <c r="B4" s="12" t="s">
        <v>54</v>
      </c>
      <c r="C4" s="14">
        <v>1092</v>
      </c>
      <c r="D4" s="14">
        <v>1162</v>
      </c>
      <c r="E4" s="14">
        <v>1204</v>
      </c>
      <c r="F4" s="14">
        <v>1279</v>
      </c>
      <c r="G4" s="14">
        <v>1411</v>
      </c>
      <c r="H4" s="14">
        <v>1626</v>
      </c>
      <c r="I4" s="14">
        <v>1741</v>
      </c>
      <c r="J4" s="14">
        <v>1872</v>
      </c>
      <c r="K4" s="14">
        <v>1882</v>
      </c>
      <c r="L4" s="14">
        <v>1869</v>
      </c>
      <c r="M4" s="14">
        <v>1965</v>
      </c>
    </row>
    <row r="5" spans="2:13" x14ac:dyDescent="0.35">
      <c r="B5" s="12" t="s">
        <v>55</v>
      </c>
      <c r="C5" s="13">
        <v>14</v>
      </c>
      <c r="D5" s="13">
        <v>19</v>
      </c>
      <c r="E5" s="13">
        <v>20</v>
      </c>
      <c r="F5" s="13">
        <v>25</v>
      </c>
      <c r="G5" s="13">
        <v>28</v>
      </c>
      <c r="H5" s="13">
        <v>32</v>
      </c>
      <c r="I5" s="13">
        <v>38</v>
      </c>
      <c r="J5" s="13">
        <v>40</v>
      </c>
      <c r="K5" s="13">
        <v>40</v>
      </c>
      <c r="L5" s="13">
        <v>42</v>
      </c>
      <c r="M5" s="13">
        <v>45</v>
      </c>
    </row>
    <row r="6" spans="2:13" x14ac:dyDescent="0.35">
      <c r="B6" s="12" t="s">
        <v>56</v>
      </c>
      <c r="C6" s="14">
        <v>194044</v>
      </c>
      <c r="D6" s="14">
        <v>200364</v>
      </c>
      <c r="E6" s="14">
        <v>204107</v>
      </c>
      <c r="F6" s="14">
        <v>228123</v>
      </c>
      <c r="G6" s="14">
        <v>242371</v>
      </c>
      <c r="H6" s="14">
        <v>259619</v>
      </c>
      <c r="I6" s="14">
        <v>314015</v>
      </c>
      <c r="J6" s="14">
        <v>343234</v>
      </c>
      <c r="K6" s="14">
        <v>317240</v>
      </c>
      <c r="L6" s="14">
        <v>323578</v>
      </c>
      <c r="M6" s="14">
        <v>328594</v>
      </c>
    </row>
    <row r="7" spans="2:13" x14ac:dyDescent="0.35">
      <c r="B7" s="12" t="s">
        <v>63</v>
      </c>
      <c r="C7" s="13">
        <v>2.8</v>
      </c>
      <c r="D7" s="13">
        <v>3.5</v>
      </c>
      <c r="E7" s="13"/>
      <c r="F7" s="13">
        <v>6.3</v>
      </c>
      <c r="G7" s="13">
        <v>9</v>
      </c>
      <c r="H7" s="13">
        <v>14</v>
      </c>
      <c r="I7" s="13">
        <v>9.5</v>
      </c>
      <c r="J7" s="13">
        <v>9.8000000000000007</v>
      </c>
      <c r="K7" s="13">
        <v>17.7</v>
      </c>
      <c r="L7" s="13">
        <v>11.6</v>
      </c>
      <c r="M7" s="13">
        <v>14.9</v>
      </c>
    </row>
    <row r="8" spans="2:13" x14ac:dyDescent="0.35">
      <c r="B8" s="12" t="s">
        <v>64</v>
      </c>
      <c r="C8" s="13">
        <v>13.6</v>
      </c>
      <c r="D8" s="13">
        <v>15</v>
      </c>
      <c r="E8" s="13">
        <v>16.399999999999999</v>
      </c>
      <c r="F8" s="13"/>
      <c r="G8" s="13">
        <v>17.399999999999999</v>
      </c>
      <c r="H8" s="13">
        <v>10.9</v>
      </c>
      <c r="I8" s="13">
        <v>27.7</v>
      </c>
      <c r="J8" s="13">
        <v>20.9</v>
      </c>
      <c r="K8" s="13">
        <v>12.6</v>
      </c>
      <c r="L8" s="13">
        <v>14.1</v>
      </c>
      <c r="M8" s="13">
        <v>12.6</v>
      </c>
    </row>
    <row r="9" spans="2:13" x14ac:dyDescent="0.35">
      <c r="B9" s="12" t="s">
        <v>57</v>
      </c>
      <c r="C9" s="13"/>
      <c r="D9" s="13">
        <v>56</v>
      </c>
      <c r="E9" s="13">
        <v>57</v>
      </c>
      <c r="F9" s="13">
        <v>60</v>
      </c>
      <c r="G9" s="13"/>
      <c r="H9" s="13"/>
      <c r="I9" s="13"/>
      <c r="J9" s="13">
        <v>75</v>
      </c>
      <c r="K9" s="13">
        <v>83</v>
      </c>
      <c r="L9" s="13">
        <v>85</v>
      </c>
      <c r="M9" s="13">
        <v>88</v>
      </c>
    </row>
    <row r="10" spans="2:13" x14ac:dyDescent="0.35">
      <c r="B10" s="12" t="s">
        <v>58</v>
      </c>
      <c r="C10" s="13"/>
      <c r="D10" s="13"/>
      <c r="E10" s="13"/>
      <c r="F10" s="13"/>
      <c r="G10" s="13"/>
      <c r="H10" s="14">
        <v>19000</v>
      </c>
      <c r="I10" s="14">
        <v>60405</v>
      </c>
      <c r="J10" s="14">
        <v>50000</v>
      </c>
      <c r="K10" s="14">
        <v>11900</v>
      </c>
      <c r="L10" s="14">
        <v>15288</v>
      </c>
      <c r="M10" s="14">
        <v>20000</v>
      </c>
    </row>
    <row r="11" spans="2:13" x14ac:dyDescent="0.35">
      <c r="B11" s="12" t="s">
        <v>62</v>
      </c>
      <c r="C11" s="13">
        <v>80.8</v>
      </c>
      <c r="D11" s="13">
        <v>81.7</v>
      </c>
      <c r="E11" s="13">
        <v>84.6</v>
      </c>
      <c r="F11" s="13">
        <v>84.3</v>
      </c>
      <c r="G11" s="13">
        <v>84</v>
      </c>
      <c r="H11" s="13"/>
      <c r="I11" s="13"/>
      <c r="J11" s="13"/>
      <c r="K11" s="13"/>
      <c r="L11" s="13"/>
      <c r="M11" s="13">
        <v>84.4</v>
      </c>
    </row>
    <row r="12" spans="2:13" x14ac:dyDescent="0.35">
      <c r="B12" s="12" t="s">
        <v>59</v>
      </c>
      <c r="C12" s="13"/>
      <c r="D12" s="13">
        <v>53.7</v>
      </c>
      <c r="E12" s="13">
        <v>55.4</v>
      </c>
      <c r="F12" s="13">
        <v>54.9</v>
      </c>
      <c r="G12" s="13">
        <v>54.8</v>
      </c>
      <c r="H12" s="13"/>
      <c r="I12" s="13"/>
      <c r="J12" s="13"/>
      <c r="K12" s="13"/>
      <c r="L12" s="13"/>
      <c r="M12" s="13"/>
    </row>
    <row r="13" spans="2:13" x14ac:dyDescent="0.35">
      <c r="B13" s="12" t="s">
        <v>60</v>
      </c>
      <c r="C13" s="15">
        <v>0.8</v>
      </c>
      <c r="D13" s="15">
        <v>0.6</v>
      </c>
      <c r="E13" s="15">
        <v>0.6</v>
      </c>
      <c r="F13" s="15">
        <v>0.6</v>
      </c>
      <c r="G13" s="15">
        <v>0.6</v>
      </c>
      <c r="H13" s="15">
        <v>0.6</v>
      </c>
      <c r="I13" s="15">
        <v>0.5</v>
      </c>
      <c r="J13" s="15">
        <v>0.5</v>
      </c>
      <c r="K13" s="15">
        <v>0.54</v>
      </c>
      <c r="L13" s="15">
        <v>0.62</v>
      </c>
      <c r="M13" s="13"/>
    </row>
    <row r="16" spans="2:13" x14ac:dyDescent="0.35">
      <c r="B16" s="45" t="s">
        <v>177</v>
      </c>
      <c r="C16" s="40">
        <f>'P&amp;L'!D4/KPIs!C4</f>
        <v>49.434981684981686</v>
      </c>
    </row>
    <row r="17" spans="2:4" x14ac:dyDescent="0.35">
      <c r="B17" s="45" t="s">
        <v>188</v>
      </c>
      <c r="C17">
        <f>0.5227*'P&amp;L'!D5</f>
        <v>20005.819800000001</v>
      </c>
      <c r="D17" s="40">
        <f>C17/C6</f>
        <v>0.10309939910535755</v>
      </c>
    </row>
  </sheetData>
  <mergeCells count="1">
    <mergeCell ref="B2:M2"/>
  </mergeCells>
  <hyperlinks>
    <hyperlink ref="C13" r:id="rId1" display="https://www.bseindia.com/HIS_ANN_RPT/HISTANNR/2016/INFOSYS_LTD-500209-MARCH-2016.PDF" xr:uid="{B706E6B3-74E0-45CD-91C9-4428087F8023}"/>
    <hyperlink ref="D13" r:id="rId2" display="https://www.bseindia.com/HIS_ANN_RPT/HISTANNR/2017/INFOSYS_LTD-500209-MARCH-2017.PDF" xr:uid="{1417BC0F-0F58-45EE-84E2-C40B10E03583}"/>
    <hyperlink ref="E13" r:id="rId3" display="https://www.bseindia.com/HIS_ANN_RPT/HISTANNR/2018/INFOSYS_LTD-500209-MARCH-2018.PDF" xr:uid="{6A24A4F4-FF2C-4DA3-8BB3-F7D838F1CD5C}"/>
    <hyperlink ref="F13" r:id="rId4" display="https://www.bseindia.com/HIS_ANN_RPT/HISTANNR/2019/INFOSYS_LTD-500209-MARCH-2019.PDF" xr:uid="{9B924D9C-4CAA-4C96-8C3B-E8E5C8C796C2}"/>
    <hyperlink ref="G13" r:id="rId5" display="https://www.bseindia.com/bseplus/AnnualReport/500209/5002090320.pdf" xr:uid="{22784E0C-09F7-4585-A3FC-27E013BB85EA}"/>
    <hyperlink ref="H13" r:id="rId6" display="https://www.infosys.com/investors/reports-filings/annual-report/annual/documents/infosys-ar-21.pdf" xr:uid="{CD03EC6B-74A8-4179-BF28-A8983E3D5639}"/>
    <hyperlink ref="I13" r:id="rId7" display="https://www.bseindia.com/bseplus/AnnualReport/500209/73015500209_29_06_22.pdf" xr:uid="{D0772C1E-9D46-4B4E-B19B-7B80EFCA8229}"/>
    <hyperlink ref="J13" r:id="rId8" display="https://www.bseindia.com/stockinfo/AnnPdfOpen.aspx?Pname=3ba3c011-0411-49ba-a250-f746a5b9d940.pdf" xr:uid="{2C4BD320-7F6C-4DD1-92BE-BBA77D9A3B8D}"/>
    <hyperlink ref="K13" r:id="rId9" display="https://www.bseindia.com/stockinfo/AnnPdfOpen.aspx?Pname=25cc7fbc-154b-4463-928d-c95f2d8c5c9c.pdf" xr:uid="{D72E6A04-CF0F-431F-BA22-A925A8EE439C}"/>
    <hyperlink ref="L13" r:id="rId10" display="https://www.bseindia.com/stockinfo/AnnPdfOpen.aspx?Pname=4527f4d2-dac4-4528-a1dc-5070fd9e140d.pdf" xr:uid="{CF0563E0-41E1-44C4-AAA0-474EE728BD0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AB06-EA0D-4562-A510-2DD199C5DC17}">
  <sheetPr>
    <tabColor theme="8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3FFD-3AEA-4E80-BD76-B6F4A9445887}">
  <dimension ref="D5:H12"/>
  <sheetViews>
    <sheetView showGridLines="0" workbookViewId="0">
      <selection activeCell="E8" sqref="E8"/>
    </sheetView>
  </sheetViews>
  <sheetFormatPr defaultRowHeight="14.5" x14ac:dyDescent="0.35"/>
  <cols>
    <col min="4" max="4" width="18.90625" customWidth="1"/>
    <col min="5" max="5" width="9.7265625" bestFit="1" customWidth="1"/>
    <col min="6" max="6" width="10.6328125" customWidth="1"/>
    <col min="7" max="7" width="8.81640625" bestFit="1" customWidth="1"/>
  </cols>
  <sheetData>
    <row r="5" spans="4:8" x14ac:dyDescent="0.35">
      <c r="D5" s="79" t="s">
        <v>257</v>
      </c>
      <c r="E5" s="79" t="s">
        <v>254</v>
      </c>
      <c r="F5" s="79" t="s">
        <v>255</v>
      </c>
      <c r="G5" s="79" t="s">
        <v>256</v>
      </c>
      <c r="H5" s="79" t="s">
        <v>259</v>
      </c>
    </row>
    <row r="6" spans="4:8" x14ac:dyDescent="0.35">
      <c r="D6" t="s">
        <v>258</v>
      </c>
      <c r="E6" s="82">
        <v>-0.02</v>
      </c>
      <c r="F6" s="82">
        <v>0</v>
      </c>
      <c r="G6" s="82">
        <v>0.02</v>
      </c>
      <c r="H6" s="27">
        <f>INDEX($E6:$G6,MATCH(DASHBOARD!$D$2,Scenarios!$E$5:$G$5,0))</f>
        <v>0</v>
      </c>
    </row>
    <row r="7" spans="4:8" x14ac:dyDescent="0.35">
      <c r="D7" t="s">
        <v>261</v>
      </c>
      <c r="E7" s="82">
        <v>-0.02</v>
      </c>
      <c r="F7" s="82">
        <v>0</v>
      </c>
      <c r="G7" s="82">
        <v>0.01</v>
      </c>
      <c r="H7" s="27">
        <f>INDEX($E7:$G7,MATCH(DASHBOARD!$D$2,Scenarios!$E$5:$G$5,0))</f>
        <v>0</v>
      </c>
    </row>
    <row r="8" spans="4:8" x14ac:dyDescent="0.35">
      <c r="D8" t="s">
        <v>260</v>
      </c>
      <c r="E8" s="82">
        <v>0.02</v>
      </c>
      <c r="F8" s="82">
        <v>0</v>
      </c>
      <c r="G8" s="82">
        <v>-0.02</v>
      </c>
      <c r="H8" s="27">
        <f>INDEX($E8:$G8,MATCH(DASHBOARD!$D$2,Scenarios!$E$5:$G$5,0))</f>
        <v>0</v>
      </c>
    </row>
    <row r="9" spans="4:8" x14ac:dyDescent="0.35">
      <c r="D9" t="s">
        <v>54</v>
      </c>
      <c r="E9" s="82">
        <v>-0.03</v>
      </c>
      <c r="F9" s="82">
        <v>0</v>
      </c>
      <c r="G9" s="82">
        <v>0.02</v>
      </c>
      <c r="H9" s="27">
        <f>INDEX($E9:$G9,MATCH(DASHBOARD!$D$2,Scenarios!$E$5:$G$5,0))</f>
        <v>0</v>
      </c>
    </row>
    <row r="10" spans="4:8" x14ac:dyDescent="0.35">
      <c r="D10" t="s">
        <v>264</v>
      </c>
      <c r="E10" s="83">
        <v>-1.4999999999999999E-2</v>
      </c>
      <c r="F10" s="82">
        <v>0</v>
      </c>
      <c r="G10" s="82">
        <v>0.02</v>
      </c>
      <c r="H10" s="27">
        <f>INDEX($E10:$G10,MATCH(DASHBOARD!$D$2,Scenarios!$E$5:$G$5,0))</f>
        <v>0</v>
      </c>
    </row>
    <row r="11" spans="4:8" x14ac:dyDescent="0.35">
      <c r="D11" t="s">
        <v>281</v>
      </c>
      <c r="E11" s="64">
        <v>-1.4999999999999999E-2</v>
      </c>
      <c r="F11" s="82">
        <v>0</v>
      </c>
      <c r="G11" s="64">
        <v>1.4999999999999999E-2</v>
      </c>
      <c r="H11" s="27">
        <f>INDEX($E11:$G11,MATCH(DASHBOARD!$D$2,Scenarios!$E$5:$G$5,0))</f>
        <v>0</v>
      </c>
    </row>
    <row r="12" spans="4:8" x14ac:dyDescent="0.35">
      <c r="D12" t="s">
        <v>282</v>
      </c>
      <c r="E12" s="64">
        <v>-1.4999999999999999E-2</v>
      </c>
      <c r="F12" s="82">
        <v>0</v>
      </c>
      <c r="G12" s="64">
        <v>1.4999999999999999E-2</v>
      </c>
      <c r="H12" s="27">
        <f>INDEX($E12:$G12,MATCH(DASHBOARD!$D$2,Scenarios!$E$5:$G$5,0))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B46D-9CD2-4301-A53D-15CC24F560CC}">
  <sheetPr>
    <tabColor theme="7" tint="0.79998168889431442"/>
  </sheetPr>
  <dimension ref="A1"/>
  <sheetViews>
    <sheetView showGridLines="0" topLeftCell="A18" zoomScaleNormal="100" workbookViewId="0">
      <selection activeCell="B18" sqref="B18"/>
    </sheetView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31F0-A94E-44FB-88CB-299B6E08ADC4}">
  <dimension ref="A2:Q115"/>
  <sheetViews>
    <sheetView showGridLines="0" tabSelected="1" workbookViewId="0">
      <pane xSplit="2" ySplit="4" topLeftCell="E58" activePane="bottomRight" state="frozen"/>
      <selection pane="topRight" activeCell="C1" sqref="C1"/>
      <selection pane="bottomLeft" activeCell="A5" sqref="A5"/>
      <selection pane="bottomRight" activeCell="O63" sqref="O63"/>
    </sheetView>
  </sheetViews>
  <sheetFormatPr defaultRowHeight="14.5" x14ac:dyDescent="0.35"/>
  <cols>
    <col min="1" max="1" width="3" customWidth="1"/>
    <col min="2" max="2" width="34.54296875" customWidth="1"/>
    <col min="3" max="3" width="12.90625" bestFit="1" customWidth="1"/>
    <col min="4" max="7" width="10.90625" bestFit="1" customWidth="1"/>
    <col min="8" max="12" width="12.36328125" bestFit="1" customWidth="1"/>
    <col min="13" max="17" width="11.81640625" bestFit="1" customWidth="1"/>
  </cols>
  <sheetData>
    <row r="2" spans="1:17" x14ac:dyDescent="0.35">
      <c r="B2" s="107" t="str">
        <f>'DATA Sheet'!B1&amp;" Forecast Assumptions"</f>
        <v>INFOSYS LTD Forecast Assumptions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x14ac:dyDescent="0.35">
      <c r="B3" s="42" t="s">
        <v>167</v>
      </c>
      <c r="C3" s="19">
        <v>1</v>
      </c>
      <c r="D3" s="19">
        <f>C3+1</f>
        <v>2</v>
      </c>
      <c r="E3" s="19">
        <f t="shared" ref="E3:Q4" si="0">D3+1</f>
        <v>3</v>
      </c>
      <c r="F3" s="19">
        <f t="shared" si="0"/>
        <v>4</v>
      </c>
      <c r="G3" s="19">
        <f t="shared" si="0"/>
        <v>5</v>
      </c>
      <c r="H3" s="19">
        <f t="shared" si="0"/>
        <v>6</v>
      </c>
      <c r="I3" s="19">
        <f t="shared" si="0"/>
        <v>7</v>
      </c>
      <c r="J3" s="19">
        <f t="shared" si="0"/>
        <v>8</v>
      </c>
      <c r="K3" s="19">
        <f t="shared" si="0"/>
        <v>9</v>
      </c>
      <c r="L3" s="19">
        <f t="shared" si="0"/>
        <v>10</v>
      </c>
      <c r="M3" s="19">
        <f t="shared" si="0"/>
        <v>11</v>
      </c>
      <c r="N3" s="19">
        <f t="shared" si="0"/>
        <v>12</v>
      </c>
      <c r="O3" s="19">
        <f t="shared" si="0"/>
        <v>13</v>
      </c>
      <c r="P3" s="19">
        <f t="shared" si="0"/>
        <v>14</v>
      </c>
      <c r="Q3" s="19">
        <f t="shared" si="0"/>
        <v>15</v>
      </c>
    </row>
    <row r="4" spans="1:17" x14ac:dyDescent="0.35">
      <c r="B4" s="42" t="s">
        <v>168</v>
      </c>
      <c r="C4" s="44">
        <v>2017</v>
      </c>
      <c r="D4" s="44">
        <f>C4+1</f>
        <v>2018</v>
      </c>
      <c r="E4" s="44">
        <f t="shared" si="0"/>
        <v>2019</v>
      </c>
      <c r="F4" s="44">
        <f t="shared" si="0"/>
        <v>2020</v>
      </c>
      <c r="G4" s="44">
        <f t="shared" si="0"/>
        <v>2021</v>
      </c>
      <c r="H4" s="44">
        <f t="shared" si="0"/>
        <v>2022</v>
      </c>
      <c r="I4" s="44">
        <f t="shared" si="0"/>
        <v>2023</v>
      </c>
      <c r="J4" s="44">
        <f t="shared" si="0"/>
        <v>2024</v>
      </c>
      <c r="K4" s="44">
        <f t="shared" si="0"/>
        <v>2025</v>
      </c>
      <c r="L4" s="44">
        <f t="shared" si="0"/>
        <v>2026</v>
      </c>
      <c r="M4" s="43">
        <f t="shared" si="0"/>
        <v>2027</v>
      </c>
      <c r="N4" s="43">
        <f t="shared" si="0"/>
        <v>2028</v>
      </c>
      <c r="O4" s="43">
        <f t="shared" si="0"/>
        <v>2029</v>
      </c>
      <c r="P4" s="43">
        <f t="shared" si="0"/>
        <v>2030</v>
      </c>
      <c r="Q4" s="43">
        <f t="shared" si="0"/>
        <v>2031</v>
      </c>
    </row>
    <row r="5" spans="1:17" x14ac:dyDescent="0.35">
      <c r="M5" s="50"/>
      <c r="N5" s="50"/>
      <c r="O5" s="50"/>
      <c r="P5" s="50"/>
      <c r="Q5" s="50"/>
    </row>
    <row r="6" spans="1:17" x14ac:dyDescent="0.35">
      <c r="A6" t="s">
        <v>112</v>
      </c>
      <c r="B6" s="24" t="s">
        <v>169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</row>
    <row r="7" spans="1:17" x14ac:dyDescent="0.35">
      <c r="B7" t="s">
        <v>12</v>
      </c>
      <c r="C7" s="26">
        <f>'Historical FS'!C5</f>
        <v>59289</v>
      </c>
      <c r="D7" s="26">
        <f>'Historical FS'!D5</f>
        <v>61941</v>
      </c>
      <c r="E7" s="26">
        <f>'Historical FS'!E5</f>
        <v>73107</v>
      </c>
      <c r="F7" s="26">
        <f>'Historical FS'!F5</f>
        <v>79047</v>
      </c>
      <c r="G7" s="26">
        <f>'Historical FS'!G5</f>
        <v>85912</v>
      </c>
      <c r="H7" s="26">
        <f>'Historical FS'!H5</f>
        <v>103940</v>
      </c>
      <c r="I7" s="26">
        <f>'Historical FS'!I5</f>
        <v>124014</v>
      </c>
      <c r="J7" s="26">
        <f>'Historical FS'!J5</f>
        <v>128933</v>
      </c>
      <c r="K7" s="26">
        <f>'Historical FS'!K5</f>
        <v>136592</v>
      </c>
      <c r="L7" s="26">
        <f>'Historical FS'!L5</f>
        <v>148819</v>
      </c>
      <c r="M7" s="51">
        <f>M12*M9</f>
        <v>160489.87918099691</v>
      </c>
      <c r="N7" s="51">
        <f t="shared" ref="N7:Q7" si="1">N12*N9</f>
        <v>173076.0273858243</v>
      </c>
      <c r="O7" s="51">
        <f t="shared" si="1"/>
        <v>186649.22304462371</v>
      </c>
      <c r="P7" s="51">
        <f t="shared" si="1"/>
        <v>201286.8736899092</v>
      </c>
      <c r="Q7" s="51">
        <f t="shared" si="1"/>
        <v>217072.45740943099</v>
      </c>
    </row>
    <row r="8" spans="1:17" x14ac:dyDescent="0.35">
      <c r="M8" s="50"/>
      <c r="N8" s="50"/>
      <c r="O8" s="50"/>
      <c r="P8" s="50"/>
      <c r="Q8" s="50"/>
    </row>
    <row r="9" spans="1:17" x14ac:dyDescent="0.35">
      <c r="B9" t="s">
        <v>54</v>
      </c>
      <c r="C9" s="8">
        <f>KPIs!D4</f>
        <v>1162</v>
      </c>
      <c r="D9" s="8">
        <f>KPIs!E4</f>
        <v>1204</v>
      </c>
      <c r="E9" s="8">
        <f>KPIs!F4</f>
        <v>1279</v>
      </c>
      <c r="F9" s="8">
        <f>KPIs!G4</f>
        <v>1411</v>
      </c>
      <c r="G9" s="8">
        <f>KPIs!H4</f>
        <v>1626</v>
      </c>
      <c r="H9" s="8">
        <f>KPIs!I4</f>
        <v>1741</v>
      </c>
      <c r="I9" s="8">
        <f>KPIs!J4</f>
        <v>1872</v>
      </c>
      <c r="J9" s="8">
        <f>KPIs!K4</f>
        <v>1882</v>
      </c>
      <c r="K9" s="8">
        <f>KPIs!L4</f>
        <v>1869</v>
      </c>
      <c r="L9" s="8">
        <f>KPIs!M4</f>
        <v>1965</v>
      </c>
      <c r="M9" s="52">
        <f>L9*(1+M10)</f>
        <v>2026.42728224351</v>
      </c>
      <c r="N9" s="52">
        <f t="shared" ref="N9:Q9" si="2">M9*(1+N10)</f>
        <v>2089.7748245398566</v>
      </c>
      <c r="O9" s="52">
        <f t="shared" si="2"/>
        <v>2155.1026555690637</v>
      </c>
      <c r="P9" s="52">
        <f t="shared" si="2"/>
        <v>2222.4726805499181</v>
      </c>
      <c r="Q9" s="52">
        <f t="shared" si="2"/>
        <v>2291.9487399018926</v>
      </c>
    </row>
    <row r="10" spans="1:17" x14ac:dyDescent="0.35">
      <c r="B10" t="s">
        <v>190</v>
      </c>
      <c r="C10" s="27">
        <f>C9/KPIs!C4-1</f>
        <v>6.4102564102564097E-2</v>
      </c>
      <c r="D10" s="27">
        <f>D9/C9-1</f>
        <v>3.6144578313253017E-2</v>
      </c>
      <c r="E10" s="27">
        <f t="shared" ref="E10:L10" si="3">E9/D9-1</f>
        <v>6.2292358803986758E-2</v>
      </c>
      <c r="F10" s="27">
        <f t="shared" si="3"/>
        <v>0.10320562939796707</v>
      </c>
      <c r="G10" s="27">
        <f t="shared" si="3"/>
        <v>0.1523742026931254</v>
      </c>
      <c r="H10" s="27">
        <f t="shared" si="3"/>
        <v>7.0725707257072612E-2</v>
      </c>
      <c r="I10" s="27">
        <f t="shared" si="3"/>
        <v>7.5244112578977562E-2</v>
      </c>
      <c r="J10" s="27">
        <f t="shared" si="3"/>
        <v>5.3418803418803229E-3</v>
      </c>
      <c r="K10" s="27">
        <f t="shared" si="3"/>
        <v>-6.907545164718365E-3</v>
      </c>
      <c r="L10" s="27">
        <f t="shared" si="3"/>
        <v>5.1364365971107606E-2</v>
      </c>
      <c r="M10" s="53">
        <f>AVERAGE($I10:$L10)+Scenarios!$H$9</f>
        <v>3.1260703431811782E-2</v>
      </c>
      <c r="N10" s="53">
        <f>AVERAGE($I10:$L10)+Scenarios!$H$9</f>
        <v>3.1260703431811782E-2</v>
      </c>
      <c r="O10" s="53">
        <f>AVERAGE($I10:$L10)+Scenarios!$H$9</f>
        <v>3.1260703431811782E-2</v>
      </c>
      <c r="P10" s="53">
        <f>AVERAGE($I10:$L10)+Scenarios!$H$9</f>
        <v>3.1260703431811782E-2</v>
      </c>
      <c r="Q10" s="53">
        <f>AVERAGE($I10:$L10)+Scenarios!$H$9</f>
        <v>3.1260703431811782E-2</v>
      </c>
    </row>
    <row r="11" spans="1:17" x14ac:dyDescent="0.35"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50"/>
      <c r="N11" s="50"/>
      <c r="O11" s="50"/>
      <c r="P11" s="50"/>
      <c r="Q11" s="50"/>
    </row>
    <row r="12" spans="1:17" x14ac:dyDescent="0.35">
      <c r="B12" s="28" t="s">
        <v>172</v>
      </c>
      <c r="C12" s="26">
        <f t="shared" ref="C12:L12" si="4">C7/C9</f>
        <v>51.023235800344231</v>
      </c>
      <c r="D12" s="26">
        <f t="shared" si="4"/>
        <v>51.446013289036543</v>
      </c>
      <c r="E12" s="26">
        <f t="shared" si="4"/>
        <v>57.159499609069584</v>
      </c>
      <c r="F12" s="26">
        <f t="shared" si="4"/>
        <v>56.021970233876687</v>
      </c>
      <c r="G12" s="26">
        <f t="shared" si="4"/>
        <v>52.836408364083638</v>
      </c>
      <c r="H12" s="26">
        <f t="shared" si="4"/>
        <v>59.701321079839175</v>
      </c>
      <c r="I12" s="26">
        <f t="shared" si="4"/>
        <v>66.246794871794876</v>
      </c>
      <c r="J12" s="26">
        <f t="shared" si="4"/>
        <v>68.50850159404888</v>
      </c>
      <c r="K12" s="26">
        <f t="shared" si="4"/>
        <v>73.082932049224183</v>
      </c>
      <c r="L12" s="26">
        <f t="shared" si="4"/>
        <v>75.734860050890589</v>
      </c>
      <c r="M12" s="51">
        <f>L12*(1+M13)</f>
        <v>79.198439829192594</v>
      </c>
      <c r="N12" s="51">
        <f t="shared" ref="N12:Q12" si="5">M12*(1+N13)</f>
        <v>82.820419383669034</v>
      </c>
      <c r="O12" s="51">
        <f t="shared" si="5"/>
        <v>86.60804280589511</v>
      </c>
      <c r="P12" s="51">
        <f t="shared" si="5"/>
        <v>90.568885481239633</v>
      </c>
      <c r="Q12" s="51">
        <f t="shared" si="5"/>
        <v>94.710869239912768</v>
      </c>
    </row>
    <row r="13" spans="1:17" x14ac:dyDescent="0.35">
      <c r="B13" s="28" t="s">
        <v>176</v>
      </c>
      <c r="C13" s="27">
        <f>C12/KPIs!C16-1</f>
        <v>3.2128142081319977E-2</v>
      </c>
      <c r="D13" s="27">
        <f>D12/C12-1</f>
        <v>8.2859795554059978E-3</v>
      </c>
      <c r="E13" s="27">
        <f t="shared" ref="E13:L13" si="6">E12/D12-1</f>
        <v>0.11105790234771451</v>
      </c>
      <c r="F13" s="27">
        <f t="shared" si="6"/>
        <v>-1.990096804508068E-2</v>
      </c>
      <c r="G13" s="27">
        <f t="shared" si="6"/>
        <v>-5.6862724686300492E-2</v>
      </c>
      <c r="H13" s="27">
        <f t="shared" si="6"/>
        <v>0.12992769433628015</v>
      </c>
      <c r="I13" s="27">
        <f t="shared" si="6"/>
        <v>0.10963700088315242</v>
      </c>
      <c r="J13" s="27">
        <f t="shared" si="6"/>
        <v>3.4140621091646839E-2</v>
      </c>
      <c r="K13" s="27">
        <f t="shared" si="6"/>
        <v>6.6771719549222563E-2</v>
      </c>
      <c r="L13" s="27">
        <f t="shared" si="6"/>
        <v>3.6286557302876554E-2</v>
      </c>
      <c r="M13" s="53">
        <f>AVERAGE($J13:$L13)+Scenarios!$H$10</f>
        <v>4.5732965981248652E-2</v>
      </c>
      <c r="N13" s="53">
        <f>AVERAGE($J13:$L13)+Scenarios!$H$10</f>
        <v>4.5732965981248652E-2</v>
      </c>
      <c r="O13" s="53">
        <f>AVERAGE($J13:$L13)+Scenarios!$H$10</f>
        <v>4.5732965981248652E-2</v>
      </c>
      <c r="P13" s="53">
        <f>AVERAGE($J13:$L13)+Scenarios!$H$10</f>
        <v>4.5732965981248652E-2</v>
      </c>
      <c r="Q13" s="53">
        <f>AVERAGE($J13:$L13)+Scenarios!$H$10</f>
        <v>4.5732965981248652E-2</v>
      </c>
    </row>
    <row r="14" spans="1:17" x14ac:dyDescent="0.35">
      <c r="B14" s="28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50"/>
      <c r="N14" s="50"/>
      <c r="O14" s="50"/>
      <c r="P14" s="50"/>
      <c r="Q14" s="50"/>
    </row>
    <row r="15" spans="1:17" x14ac:dyDescent="0.35">
      <c r="C15" s="8"/>
      <c r="D15" s="8"/>
      <c r="E15" s="8"/>
      <c r="F15" s="8"/>
      <c r="G15" s="8"/>
      <c r="H15" s="8"/>
      <c r="I15" s="8"/>
      <c r="J15" s="8"/>
      <c r="K15" s="8"/>
      <c r="L15" s="8"/>
      <c r="M15" s="50"/>
      <c r="N15" s="50"/>
      <c r="O15" s="50"/>
      <c r="P15" s="50"/>
      <c r="Q15" s="50"/>
    </row>
    <row r="16" spans="1:17" x14ac:dyDescent="0.35">
      <c r="B16" s="47" t="s">
        <v>170</v>
      </c>
      <c r="C16">
        <f>KPIs!D5+KPIs!D9</f>
        <v>75</v>
      </c>
      <c r="D16">
        <f>KPIs!E5+KPIs!E9</f>
        <v>77</v>
      </c>
      <c r="E16">
        <f>KPIs!F5+KPIs!F9</f>
        <v>85</v>
      </c>
      <c r="F16">
        <f>KPIs!G5+KPIs!G9</f>
        <v>28</v>
      </c>
      <c r="G16">
        <f>KPIs!H5+KPIs!H9</f>
        <v>32</v>
      </c>
      <c r="H16">
        <f>KPIs!I5+KPIs!I9</f>
        <v>38</v>
      </c>
      <c r="I16">
        <f>KPIs!J5+KPIs!J9</f>
        <v>115</v>
      </c>
      <c r="J16">
        <f>KPIs!K5+KPIs!K9</f>
        <v>123</v>
      </c>
      <c r="K16">
        <f>KPIs!L5+KPIs!L9</f>
        <v>127</v>
      </c>
      <c r="L16">
        <f>KPIs!M5+KPIs!M9</f>
        <v>133</v>
      </c>
      <c r="M16" s="52">
        <f>L16*(1+M17)</f>
        <v>139.62028057733505</v>
      </c>
      <c r="N16" s="52">
        <f t="shared" ref="N16:Q16" si="7">M16*(1+N17)</f>
        <v>146.57009585333657</v>
      </c>
      <c r="O16" s="52">
        <f t="shared" si="7"/>
        <v>153.86584892699057</v>
      </c>
      <c r="P16" s="52">
        <f t="shared" si="7"/>
        <v>161.52475938688926</v>
      </c>
      <c r="Q16" s="52">
        <f t="shared" si="7"/>
        <v>169.56490395326324</v>
      </c>
    </row>
    <row r="17" spans="1:17" x14ac:dyDescent="0.35">
      <c r="B17" s="47" t="s">
        <v>176</v>
      </c>
      <c r="C17" s="27">
        <f>C16/(KPIs!C5+KPIs!C9)</f>
        <v>5.3571428571428568</v>
      </c>
      <c r="D17" s="27">
        <f>D16/C16-1</f>
        <v>2.6666666666666616E-2</v>
      </c>
      <c r="E17" s="27">
        <f t="shared" ref="E17:L17" si="8">E16/D16-1</f>
        <v>0.10389610389610393</v>
      </c>
      <c r="F17" s="27">
        <f t="shared" si="8"/>
        <v>-0.67058823529411771</v>
      </c>
      <c r="G17" s="27">
        <f t="shared" si="8"/>
        <v>0.14285714285714279</v>
      </c>
      <c r="H17" s="27">
        <f t="shared" si="8"/>
        <v>0.1875</v>
      </c>
      <c r="I17" s="27">
        <f t="shared" si="8"/>
        <v>2.0263157894736841</v>
      </c>
      <c r="J17" s="27">
        <f t="shared" si="8"/>
        <v>6.956521739130439E-2</v>
      </c>
      <c r="K17" s="27">
        <f t="shared" si="8"/>
        <v>3.2520325203251987E-2</v>
      </c>
      <c r="L17" s="27">
        <f t="shared" si="8"/>
        <v>4.7244094488188892E-2</v>
      </c>
      <c r="M17" s="53">
        <f>AVERAGE($J17:$L17)+Scenarios!$H$11</f>
        <v>4.9776545694248421E-2</v>
      </c>
      <c r="N17" s="53">
        <f>AVERAGE($J17:$L17)+Scenarios!$H$11</f>
        <v>4.9776545694248421E-2</v>
      </c>
      <c r="O17" s="53">
        <f>AVERAGE($J17:$L17)+Scenarios!$H$11</f>
        <v>4.9776545694248421E-2</v>
      </c>
      <c r="P17" s="53">
        <f>AVERAGE($J17:$L17)+Scenarios!$H$11</f>
        <v>4.9776545694248421E-2</v>
      </c>
      <c r="Q17" s="53">
        <f>AVERAGE($J17:$L17)+Scenarios!$H$11</f>
        <v>4.9776545694248421E-2</v>
      </c>
    </row>
    <row r="18" spans="1:17" x14ac:dyDescent="0.35">
      <c r="B18" s="47"/>
      <c r="M18" s="50"/>
      <c r="N18" s="50"/>
      <c r="O18" s="50"/>
      <c r="P18" s="50"/>
      <c r="Q18" s="50"/>
    </row>
    <row r="19" spans="1:17" x14ac:dyDescent="0.35">
      <c r="B19" s="46" t="s">
        <v>175</v>
      </c>
      <c r="C19" s="29">
        <f t="shared" ref="C19:L19" si="9">C16/C9</f>
        <v>6.4543889845094668E-2</v>
      </c>
      <c r="D19" s="29">
        <f>D16/D9</f>
        <v>6.3953488372093026E-2</v>
      </c>
      <c r="E19" s="29">
        <f t="shared" si="9"/>
        <v>6.6458170445660672E-2</v>
      </c>
      <c r="F19" s="29">
        <f t="shared" si="9"/>
        <v>1.9844082211197732E-2</v>
      </c>
      <c r="G19" s="29">
        <f t="shared" si="9"/>
        <v>1.968019680196802E-2</v>
      </c>
      <c r="H19" s="29">
        <f t="shared" si="9"/>
        <v>2.1826536473291212E-2</v>
      </c>
      <c r="I19" s="29">
        <f t="shared" si="9"/>
        <v>6.1431623931623928E-2</v>
      </c>
      <c r="J19" s="29">
        <f t="shared" si="9"/>
        <v>6.5356004250797031E-2</v>
      </c>
      <c r="K19" s="29">
        <f t="shared" si="9"/>
        <v>6.7950775815944359E-2</v>
      </c>
      <c r="L19" s="29">
        <f t="shared" si="9"/>
        <v>6.7684478371501267E-2</v>
      </c>
      <c r="M19" s="54">
        <f>AVERAGE($J19:$L19)</f>
        <v>6.6997086146080895E-2</v>
      </c>
      <c r="N19" s="54">
        <f t="shared" ref="N19:Q19" si="10">AVERAGE($J19:$L19)</f>
        <v>6.6997086146080895E-2</v>
      </c>
      <c r="O19" s="54">
        <f t="shared" si="10"/>
        <v>6.6997086146080895E-2</v>
      </c>
      <c r="P19" s="54">
        <f t="shared" si="10"/>
        <v>6.6997086146080895E-2</v>
      </c>
      <c r="Q19" s="54">
        <f t="shared" si="10"/>
        <v>6.6997086146080895E-2</v>
      </c>
    </row>
    <row r="20" spans="1:17" x14ac:dyDescent="0.35">
      <c r="B20" s="46" t="s">
        <v>173</v>
      </c>
      <c r="C20" s="26">
        <f t="shared" ref="C20:L20" si="11">C19*C7</f>
        <v>3826.742685025818</v>
      </c>
      <c r="D20" s="26">
        <f>D19*D7</f>
        <v>3961.3430232558139</v>
      </c>
      <c r="E20" s="26">
        <f t="shared" si="11"/>
        <v>4858.5574667709152</v>
      </c>
      <c r="F20" s="26">
        <f>F19*F7</f>
        <v>1568.6151665485472</v>
      </c>
      <c r="G20" s="26">
        <f t="shared" si="11"/>
        <v>1690.7650676506767</v>
      </c>
      <c r="H20" s="26">
        <f t="shared" si="11"/>
        <v>2268.6502010338886</v>
      </c>
      <c r="I20" s="26">
        <f t="shared" si="11"/>
        <v>7618.3814102564102</v>
      </c>
      <c r="J20" s="26">
        <f t="shared" si="11"/>
        <v>8426.5456960680131</v>
      </c>
      <c r="K20" s="26">
        <f t="shared" si="11"/>
        <v>9281.5323702514725</v>
      </c>
      <c r="L20" s="26">
        <f t="shared" si="11"/>
        <v>10072.736386768447</v>
      </c>
      <c r="M20" s="51">
        <f t="shared" ref="M20:Q20" si="12">M19*M7</f>
        <v>10752.354261063365</v>
      </c>
      <c r="N20" s="51">
        <f t="shared" si="12"/>
        <v>11595.589516589527</v>
      </c>
      <c r="O20" s="51">
        <f t="shared" si="12"/>
        <v>12504.954075419722</v>
      </c>
      <c r="P20" s="51">
        <f t="shared" si="12"/>
        <v>13485.63401667815</v>
      </c>
      <c r="Q20" s="51">
        <f t="shared" si="12"/>
        <v>14543.222129001124</v>
      </c>
    </row>
    <row r="21" spans="1:17" x14ac:dyDescent="0.35">
      <c r="B21" s="4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51"/>
      <c r="N21" s="51"/>
      <c r="O21" s="51"/>
      <c r="P21" s="51"/>
      <c r="Q21" s="51"/>
    </row>
    <row r="22" spans="1:17" x14ac:dyDescent="0.35">
      <c r="B22" s="47"/>
      <c r="M22" s="50"/>
      <c r="N22" s="50"/>
      <c r="O22" s="50"/>
      <c r="P22" s="50"/>
      <c r="Q22" s="50"/>
    </row>
    <row r="23" spans="1:17" x14ac:dyDescent="0.35">
      <c r="B23" s="47" t="s">
        <v>171</v>
      </c>
      <c r="C23" s="8">
        <f t="shared" ref="C23:L23" si="13">C9-C16</f>
        <v>1087</v>
      </c>
      <c r="D23" s="8">
        <f t="shared" si="13"/>
        <v>1127</v>
      </c>
      <c r="E23" s="8">
        <f t="shared" si="13"/>
        <v>1194</v>
      </c>
      <c r="F23" s="8">
        <f t="shared" si="13"/>
        <v>1383</v>
      </c>
      <c r="G23" s="8">
        <f t="shared" si="13"/>
        <v>1594</v>
      </c>
      <c r="H23" s="8">
        <f t="shared" si="13"/>
        <v>1703</v>
      </c>
      <c r="I23" s="8">
        <f t="shared" si="13"/>
        <v>1757</v>
      </c>
      <c r="J23" s="8">
        <f t="shared" si="13"/>
        <v>1759</v>
      </c>
      <c r="K23" s="8">
        <f t="shared" si="13"/>
        <v>1742</v>
      </c>
      <c r="L23" s="8">
        <f t="shared" si="13"/>
        <v>1832</v>
      </c>
      <c r="M23" s="52">
        <f>L23*(1+M24)</f>
        <v>1926.6498277841561</v>
      </c>
      <c r="N23" s="52">
        <f t="shared" ref="N23:Q23" si="14">M23*(1+N24)</f>
        <v>2026.1897155571608</v>
      </c>
      <c r="O23" s="52">
        <f t="shared" si="14"/>
        <v>2130.8723070612618</v>
      </c>
      <c r="P23" s="52">
        <f t="shared" si="14"/>
        <v>2240.963298815288</v>
      </c>
      <c r="Q23" s="52">
        <f t="shared" si="14"/>
        <v>2356.7421144831274</v>
      </c>
    </row>
    <row r="24" spans="1:17" x14ac:dyDescent="0.35">
      <c r="B24" s="47" t="s">
        <v>176</v>
      </c>
      <c r="C24" s="27">
        <f>C23/(KPIs!C4-KPIs!C5-KPIs!C9)-1</f>
        <v>8.3487940630797564E-3</v>
      </c>
      <c r="D24" s="27">
        <f>D23/C23-1</f>
        <v>3.6798528058877622E-2</v>
      </c>
      <c r="E24" s="27">
        <f t="shared" ref="E24:L24" si="15">E23/D23-1</f>
        <v>5.9449866903283022E-2</v>
      </c>
      <c r="F24" s="27">
        <f t="shared" si="15"/>
        <v>0.15829145728643224</v>
      </c>
      <c r="G24" s="27">
        <f t="shared" si="15"/>
        <v>0.15256688358640647</v>
      </c>
      <c r="H24" s="27">
        <f t="shared" si="15"/>
        <v>6.838143036386457E-2</v>
      </c>
      <c r="I24" s="27">
        <f t="shared" si="15"/>
        <v>3.1708749266001091E-2</v>
      </c>
      <c r="J24" s="27">
        <f t="shared" si="15"/>
        <v>1.1383039271486428E-3</v>
      </c>
      <c r="K24" s="27">
        <f t="shared" si="15"/>
        <v>-9.6645821489482753E-3</v>
      </c>
      <c r="L24" s="27">
        <f t="shared" si="15"/>
        <v>5.1664753157290466E-2</v>
      </c>
      <c r="M24" s="53">
        <f>L24+Scenarios!$H$12</f>
        <v>5.1664753157290466E-2</v>
      </c>
      <c r="N24" s="53">
        <f>M24+Scenarios!$H$12</f>
        <v>5.1664753157290466E-2</v>
      </c>
      <c r="O24" s="53">
        <f>N24+Scenarios!$H$12</f>
        <v>5.1664753157290466E-2</v>
      </c>
      <c r="P24" s="53">
        <f>O24+Scenarios!$H$12</f>
        <v>5.1664753157290466E-2</v>
      </c>
      <c r="Q24" s="53">
        <f>P24+Scenarios!$H$12</f>
        <v>5.1664753157290466E-2</v>
      </c>
    </row>
    <row r="25" spans="1:17" x14ac:dyDescent="0.35">
      <c r="B25" s="47"/>
      <c r="C25" s="8"/>
      <c r="D25" s="8"/>
      <c r="E25" s="8"/>
      <c r="F25" s="8"/>
      <c r="G25" s="8"/>
      <c r="H25" s="8"/>
      <c r="I25" s="8"/>
      <c r="J25" s="8"/>
      <c r="K25" s="8"/>
      <c r="L25" s="8"/>
      <c r="M25" s="50"/>
      <c r="N25" s="50"/>
      <c r="O25" s="50"/>
      <c r="P25" s="50"/>
      <c r="Q25" s="50"/>
    </row>
    <row r="26" spans="1:17" x14ac:dyDescent="0.35">
      <c r="B26" s="46" t="s">
        <v>175</v>
      </c>
      <c r="C26" s="29">
        <f>1-C19</f>
        <v>0.93545611015490537</v>
      </c>
      <c r="D26" s="29">
        <f t="shared" ref="D26:L26" si="16">1-D19</f>
        <v>0.93604651162790697</v>
      </c>
      <c r="E26" s="29">
        <f t="shared" si="16"/>
        <v>0.93354182955433929</v>
      </c>
      <c r="F26" s="29">
        <f t="shared" si="16"/>
        <v>0.98015591778880229</v>
      </c>
      <c r="G26" s="29">
        <f t="shared" si="16"/>
        <v>0.98031980319803202</v>
      </c>
      <c r="H26" s="29">
        <f t="shared" si="16"/>
        <v>0.97817346352670875</v>
      </c>
      <c r="I26" s="29">
        <f t="shared" si="16"/>
        <v>0.93856837606837606</v>
      </c>
      <c r="J26" s="29">
        <f t="shared" si="16"/>
        <v>0.93464399574920298</v>
      </c>
      <c r="K26" s="29">
        <f t="shared" si="16"/>
        <v>0.93204922418405567</v>
      </c>
      <c r="L26" s="29">
        <f t="shared" si="16"/>
        <v>0.93231552162849873</v>
      </c>
      <c r="M26" s="54">
        <f>1-M19</f>
        <v>0.93300291385391909</v>
      </c>
      <c r="N26" s="54">
        <f t="shared" ref="N26:Q26" si="17">1-N19</f>
        <v>0.93300291385391909</v>
      </c>
      <c r="O26" s="54">
        <f t="shared" si="17"/>
        <v>0.93300291385391909</v>
      </c>
      <c r="P26" s="54">
        <f t="shared" si="17"/>
        <v>0.93300291385391909</v>
      </c>
      <c r="Q26" s="54">
        <f t="shared" si="17"/>
        <v>0.93300291385391909</v>
      </c>
    </row>
    <row r="27" spans="1:17" x14ac:dyDescent="0.35">
      <c r="B27" s="46" t="s">
        <v>174</v>
      </c>
      <c r="C27" s="26">
        <f t="shared" ref="C27:L27" si="18">C26*C7</f>
        <v>55462.257314974187</v>
      </c>
      <c r="D27" s="26">
        <f t="shared" si="18"/>
        <v>57979.656976744183</v>
      </c>
      <c r="E27" s="26">
        <f t="shared" si="18"/>
        <v>68248.442533229085</v>
      </c>
      <c r="F27" s="26">
        <f t="shared" si="18"/>
        <v>77478.384833451448</v>
      </c>
      <c r="G27" s="26">
        <f t="shared" si="18"/>
        <v>84221.234932349325</v>
      </c>
      <c r="H27" s="26">
        <f t="shared" si="18"/>
        <v>101671.34979896611</v>
      </c>
      <c r="I27" s="26">
        <f t="shared" si="18"/>
        <v>116395.61858974359</v>
      </c>
      <c r="J27" s="26">
        <f t="shared" si="18"/>
        <v>120506.45430393198</v>
      </c>
      <c r="K27" s="26">
        <f t="shared" si="18"/>
        <v>127310.46762974853</v>
      </c>
      <c r="L27" s="26">
        <f t="shared" si="18"/>
        <v>138746.26361323157</v>
      </c>
      <c r="M27" s="51">
        <f t="shared" ref="M27:Q27" si="19">M26*M7</f>
        <v>149737.52491993355</v>
      </c>
      <c r="N27" s="51">
        <f t="shared" si="19"/>
        <v>161480.43786923477</v>
      </c>
      <c r="O27" s="51">
        <f t="shared" si="19"/>
        <v>174144.26896920399</v>
      </c>
      <c r="P27" s="51">
        <f t="shared" si="19"/>
        <v>187801.23967323106</v>
      </c>
      <c r="Q27" s="51">
        <f t="shared" si="19"/>
        <v>202529.23528042986</v>
      </c>
    </row>
    <row r="28" spans="1:17" x14ac:dyDescent="0.35">
      <c r="M28" s="50"/>
      <c r="N28" s="50"/>
      <c r="O28" s="50"/>
      <c r="P28" s="50"/>
      <c r="Q28" s="50"/>
    </row>
    <row r="29" spans="1:17" x14ac:dyDescent="0.35">
      <c r="C29" s="26"/>
      <c r="M29" s="50"/>
      <c r="N29" s="50"/>
      <c r="O29" s="50"/>
      <c r="P29" s="50"/>
      <c r="Q29" s="50"/>
    </row>
    <row r="30" spans="1:17" x14ac:dyDescent="0.35">
      <c r="A30" t="s">
        <v>112</v>
      </c>
      <c r="B30" s="24" t="s">
        <v>178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spans="1:17" x14ac:dyDescent="0.35">
      <c r="M31" s="50"/>
      <c r="N31" s="50"/>
      <c r="O31" s="50"/>
      <c r="P31" s="50"/>
      <c r="Q31" s="50"/>
    </row>
    <row r="32" spans="1:17" x14ac:dyDescent="0.35">
      <c r="B32" s="22" t="s">
        <v>114</v>
      </c>
      <c r="C32" s="37">
        <f>'Historical FS'!C8</f>
        <v>38281</v>
      </c>
      <c r="D32" s="37">
        <f>'Historical FS'!D8</f>
        <v>40331</v>
      </c>
      <c r="E32" s="37">
        <f>'Historical FS'!E8</f>
        <v>48850</v>
      </c>
      <c r="F32" s="37">
        <f>'Historical FS'!F8</f>
        <v>53988</v>
      </c>
      <c r="G32" s="37">
        <f>'Historical FS'!G8</f>
        <v>57966</v>
      </c>
      <c r="H32" s="37">
        <f>'Historical FS'!H8</f>
        <v>71916</v>
      </c>
      <c r="I32" s="37">
        <f>'Historical FS'!I8</f>
        <v>88211</v>
      </c>
      <c r="J32" s="37">
        <f>'Historical FS'!J8</f>
        <v>91832</v>
      </c>
      <c r="K32" s="37">
        <f>'Historical FS'!K8</f>
        <v>97647</v>
      </c>
      <c r="L32" s="37">
        <f>'Historical FS'!L8</f>
        <v>106285</v>
      </c>
      <c r="M32" s="55">
        <f>M34+M43</f>
        <v>113755.42116746331</v>
      </c>
      <c r="N32" s="55">
        <f t="shared" ref="N32:Q32" si="20">N34+N43</f>
        <v>121772.55337406145</v>
      </c>
      <c r="O32" s="55">
        <f t="shared" si="20"/>
        <v>130378.11764960212</v>
      </c>
      <c r="P32" s="55">
        <f t="shared" si="20"/>
        <v>139617.1487758866</v>
      </c>
      <c r="Q32" s="55">
        <f t="shared" si="20"/>
        <v>149538.26794542617</v>
      </c>
    </row>
    <row r="33" spans="2:17" x14ac:dyDescent="0.35">
      <c r="M33" s="50"/>
      <c r="N33" s="50"/>
      <c r="O33" s="50"/>
      <c r="P33" s="50"/>
      <c r="Q33" s="50"/>
    </row>
    <row r="34" spans="2:17" x14ac:dyDescent="0.35">
      <c r="B34" s="22" t="s">
        <v>17</v>
      </c>
      <c r="C34" s="37">
        <f>'DATA Sheet'!B22</f>
        <v>30953</v>
      </c>
      <c r="D34" s="37">
        <f>'DATA Sheet'!C22</f>
        <v>32481</v>
      </c>
      <c r="E34" s="37">
        <f>'DATA Sheet'!D22</f>
        <v>38303</v>
      </c>
      <c r="F34" s="37">
        <f>'DATA Sheet'!E22</f>
        <v>42442</v>
      </c>
      <c r="G34" s="37">
        <f>'DATA Sheet'!F22</f>
        <v>45185</v>
      </c>
      <c r="H34" s="37">
        <f>'DATA Sheet'!G22</f>
        <v>51675</v>
      </c>
      <c r="I34" s="37">
        <f>'DATA Sheet'!H22</f>
        <v>62779</v>
      </c>
      <c r="J34" s="37">
        <f>'DATA Sheet'!I22</f>
        <v>65155</v>
      </c>
      <c r="K34" s="37">
        <f>'DATA Sheet'!J22</f>
        <v>67484</v>
      </c>
      <c r="L34" s="37">
        <f>'DATA Sheet'!K22</f>
        <v>73257</v>
      </c>
      <c r="M34" s="55">
        <f>M39*M36</f>
        <v>77704.122180902385</v>
      </c>
      <c r="N34" s="55">
        <f t="shared" ref="N34:Q34" si="21">N39*N36</f>
        <v>82421.210313070507</v>
      </c>
      <c r="O34" s="55">
        <f t="shared" si="21"/>
        <v>87424.652885931471</v>
      </c>
      <c r="P34" s="55">
        <f t="shared" si="21"/>
        <v>92731.833264690053</v>
      </c>
      <c r="Q34" s="55">
        <f t="shared" si="21"/>
        <v>98361.19008502319</v>
      </c>
    </row>
    <row r="35" spans="2:17" x14ac:dyDescent="0.35">
      <c r="M35" s="50"/>
      <c r="N35" s="50"/>
      <c r="O35" s="50"/>
      <c r="P35" s="50"/>
      <c r="Q35" s="50"/>
    </row>
    <row r="36" spans="2:17" x14ac:dyDescent="0.35">
      <c r="B36" t="s">
        <v>186</v>
      </c>
      <c r="C36" s="8">
        <f>KPIs!D6</f>
        <v>200364</v>
      </c>
      <c r="D36" s="8">
        <f>KPIs!E6</f>
        <v>204107</v>
      </c>
      <c r="E36" s="8">
        <f>KPIs!F6</f>
        <v>228123</v>
      </c>
      <c r="F36" s="8">
        <f>KPIs!G6</f>
        <v>242371</v>
      </c>
      <c r="G36" s="8">
        <f>KPIs!H6</f>
        <v>259619</v>
      </c>
      <c r="H36" s="8">
        <f>KPIs!I6</f>
        <v>314015</v>
      </c>
      <c r="I36" s="8">
        <f>KPIs!J6</f>
        <v>343234</v>
      </c>
      <c r="J36" s="8">
        <f>KPIs!K6</f>
        <v>317240</v>
      </c>
      <c r="K36" s="8">
        <f>KPIs!L6</f>
        <v>323578</v>
      </c>
      <c r="L36" s="8">
        <f>KPIs!M6</f>
        <v>328594</v>
      </c>
      <c r="M36" s="52">
        <f>L36*(1+M37)</f>
        <v>334423.29650741233</v>
      </c>
      <c r="N36" s="52">
        <f t="shared" ref="N36:Q36" si="22">M36*(1+N37)</f>
        <v>340356.00542579783</v>
      </c>
      <c r="O36" s="52">
        <f t="shared" si="22"/>
        <v>346393.96130358445</v>
      </c>
      <c r="P36" s="52">
        <f t="shared" si="22"/>
        <v>352539.03123430657</v>
      </c>
      <c r="Q36" s="52">
        <f t="shared" si="22"/>
        <v>358793.11543395923</v>
      </c>
    </row>
    <row r="37" spans="2:17" x14ac:dyDescent="0.35">
      <c r="B37" t="s">
        <v>176</v>
      </c>
      <c r="C37" s="27">
        <f>C36/KPIs!C6-1</f>
        <v>3.2569932592607875E-2</v>
      </c>
      <c r="D37" s="27">
        <f>D36/C36-1</f>
        <v>1.8681000578946394E-2</v>
      </c>
      <c r="E37" s="27">
        <f t="shared" ref="E37:L37" si="23">E36/D36-1</f>
        <v>0.11766377439284303</v>
      </c>
      <c r="F37" s="27">
        <f t="shared" si="23"/>
        <v>6.2457533874269666E-2</v>
      </c>
      <c r="G37" s="27">
        <f t="shared" si="23"/>
        <v>7.116362931208764E-2</v>
      </c>
      <c r="H37" s="27">
        <f t="shared" si="23"/>
        <v>0.20952241553969464</v>
      </c>
      <c r="I37" s="27">
        <f t="shared" si="23"/>
        <v>9.3049695078260664E-2</v>
      </c>
      <c r="J37" s="27">
        <f t="shared" si="23"/>
        <v>-7.5732590594171922E-2</v>
      </c>
      <c r="K37" s="27">
        <f t="shared" si="23"/>
        <v>1.9978565124196157E-2</v>
      </c>
      <c r="L37" s="27">
        <f t="shared" si="23"/>
        <v>1.5501671930724603E-2</v>
      </c>
      <c r="M37" s="53">
        <f>AVERAGE($K37:$L37)+Scenarios!$H$7</f>
        <v>1.774011852746038E-2</v>
      </c>
      <c r="N37" s="53">
        <f>AVERAGE($K37:$L37)+Scenarios!$H$7</f>
        <v>1.774011852746038E-2</v>
      </c>
      <c r="O37" s="53">
        <f>AVERAGE($K37:$L37)+Scenarios!$H$7</f>
        <v>1.774011852746038E-2</v>
      </c>
      <c r="P37" s="53">
        <f>AVERAGE($K37:$L37)+Scenarios!$H$7</f>
        <v>1.774011852746038E-2</v>
      </c>
      <c r="Q37" s="53">
        <f>AVERAGE($K37:$L37)+Scenarios!$H$7</f>
        <v>1.774011852746038E-2</v>
      </c>
    </row>
    <row r="38" spans="2:17" x14ac:dyDescent="0.35">
      <c r="C38" s="8"/>
      <c r="D38" s="8"/>
      <c r="E38" s="8"/>
      <c r="F38" s="8"/>
      <c r="G38" s="8"/>
      <c r="H38" s="8"/>
      <c r="I38" s="8"/>
      <c r="J38" s="8"/>
      <c r="K38" s="8"/>
      <c r="L38" s="8"/>
      <c r="M38" s="50"/>
      <c r="N38" s="50"/>
      <c r="O38" s="50"/>
      <c r="P38" s="50"/>
      <c r="Q38" s="50"/>
    </row>
    <row r="39" spans="2:17" x14ac:dyDescent="0.35">
      <c r="B39" t="s">
        <v>187</v>
      </c>
      <c r="C39" s="26">
        <f t="shared" ref="C39:L39" si="24">C34/C36</f>
        <v>0.15448383941226967</v>
      </c>
      <c r="D39" s="26">
        <f t="shared" si="24"/>
        <v>0.15913711925607646</v>
      </c>
      <c r="E39" s="26">
        <f t="shared" si="24"/>
        <v>0.16790503368796658</v>
      </c>
      <c r="F39" s="26">
        <f t="shared" si="24"/>
        <v>0.17511170890906916</v>
      </c>
      <c r="G39" s="26">
        <f t="shared" si="24"/>
        <v>0.17404350220900627</v>
      </c>
      <c r="H39" s="26">
        <f t="shared" si="24"/>
        <v>0.16456220244255848</v>
      </c>
      <c r="I39" s="26">
        <f t="shared" si="24"/>
        <v>0.18290437427527576</v>
      </c>
      <c r="J39" s="26">
        <f t="shared" si="24"/>
        <v>0.20538078426427941</v>
      </c>
      <c r="K39" s="26">
        <f t="shared" si="24"/>
        <v>0.20855558783353628</v>
      </c>
      <c r="L39" s="26">
        <f t="shared" si="24"/>
        <v>0.22294077189480027</v>
      </c>
      <c r="M39" s="51">
        <f>L39*(1+M40)</f>
        <v>0.2323525992130758</v>
      </c>
      <c r="N39" s="51">
        <f t="shared" ref="N39:Q39" si="25">M39*(1+N40)</f>
        <v>0.24216176297509001</v>
      </c>
      <c r="O39" s="51">
        <f t="shared" si="25"/>
        <v>0.25238503742076296</v>
      </c>
      <c r="P39" s="51">
        <f t="shared" si="25"/>
        <v>0.26303990494334251</v>
      </c>
      <c r="Q39" s="51">
        <f t="shared" si="25"/>
        <v>0.27414458598531249</v>
      </c>
    </row>
    <row r="40" spans="2:17" x14ac:dyDescent="0.35">
      <c r="B40" t="s">
        <v>176</v>
      </c>
      <c r="C40" s="27">
        <f>C39/KPIs!D17-1</f>
        <v>0.4983970881770341</v>
      </c>
      <c r="D40" s="27">
        <f>D39/C39-1</f>
        <v>3.0121466824685861E-2</v>
      </c>
      <c r="E40" s="27">
        <f t="shared" ref="E40:L40" si="26">E39/D39-1</f>
        <v>5.5096601426981806E-2</v>
      </c>
      <c r="F40" s="27">
        <f t="shared" si="26"/>
        <v>4.2921138591326624E-2</v>
      </c>
      <c r="G40" s="27">
        <f t="shared" si="26"/>
        <v>-6.1001443405339639E-3</v>
      </c>
      <c r="H40" s="27">
        <f t="shared" si="26"/>
        <v>-5.4476608699024265E-2</v>
      </c>
      <c r="I40" s="27">
        <f>I39/H39-1</f>
        <v>0.11146041776585802</v>
      </c>
      <c r="J40" s="27">
        <f t="shared" si="26"/>
        <v>0.12288612603204396</v>
      </c>
      <c r="K40" s="27">
        <f t="shared" si="26"/>
        <v>1.5458133440427346E-2</v>
      </c>
      <c r="L40" s="27">
        <f t="shared" si="26"/>
        <v>6.8975299154995007E-2</v>
      </c>
      <c r="M40" s="53">
        <f>AVERAGE($K40:$L40)+Scenarios!$H$8</f>
        <v>4.2216716297711177E-2</v>
      </c>
      <c r="N40" s="53">
        <f>AVERAGE($K40:$L40)+Scenarios!$H$8</f>
        <v>4.2216716297711177E-2</v>
      </c>
      <c r="O40" s="53">
        <f>AVERAGE($K40:$L40)+Scenarios!$H$8</f>
        <v>4.2216716297711177E-2</v>
      </c>
      <c r="P40" s="53">
        <f>AVERAGE($K40:$L40)+Scenarios!$H$8</f>
        <v>4.2216716297711177E-2</v>
      </c>
      <c r="Q40" s="53">
        <f>AVERAGE($K40:$L40)+Scenarios!$H$8</f>
        <v>4.2216716297711177E-2</v>
      </c>
    </row>
    <row r="41" spans="2:17" x14ac:dyDescent="0.35">
      <c r="M41" s="50"/>
      <c r="N41" s="50"/>
      <c r="O41" s="50"/>
      <c r="P41" s="50"/>
      <c r="Q41" s="50"/>
    </row>
    <row r="42" spans="2:17" x14ac:dyDescent="0.35">
      <c r="M42" s="50"/>
      <c r="N42" s="50"/>
      <c r="O42" s="50"/>
      <c r="P42" s="50"/>
      <c r="Q42" s="50"/>
    </row>
    <row r="43" spans="2:17" x14ac:dyDescent="0.35">
      <c r="B43" s="22" t="s">
        <v>189</v>
      </c>
      <c r="C43" s="37">
        <f t="shared" ref="C43:L43" si="27">C32-C34</f>
        <v>7328</v>
      </c>
      <c r="D43" s="37">
        <f t="shared" si="27"/>
        <v>7850</v>
      </c>
      <c r="E43" s="37">
        <f t="shared" si="27"/>
        <v>10547</v>
      </c>
      <c r="F43" s="37">
        <f t="shared" si="27"/>
        <v>11546</v>
      </c>
      <c r="G43" s="37">
        <f t="shared" si="27"/>
        <v>12781</v>
      </c>
      <c r="H43" s="37">
        <f t="shared" si="27"/>
        <v>20241</v>
      </c>
      <c r="I43" s="37">
        <f t="shared" si="27"/>
        <v>25432</v>
      </c>
      <c r="J43" s="37">
        <f t="shared" si="27"/>
        <v>26677</v>
      </c>
      <c r="K43" s="37">
        <f t="shared" si="27"/>
        <v>30163</v>
      </c>
      <c r="L43" s="37">
        <f t="shared" si="27"/>
        <v>33028</v>
      </c>
      <c r="M43" s="55">
        <f>L43*(1+M44)</f>
        <v>36051.298986560927</v>
      </c>
      <c r="N43" s="55">
        <f t="shared" ref="N43:Q43" si="28">M43*(1+N44)</f>
        <v>39351.343060990941</v>
      </c>
      <c r="O43" s="55">
        <f t="shared" si="28"/>
        <v>42953.464763670643</v>
      </c>
      <c r="P43" s="55">
        <f t="shared" si="28"/>
        <v>46885.315511196553</v>
      </c>
      <c r="Q43" s="55">
        <f t="shared" si="28"/>
        <v>51177.077860402977</v>
      </c>
    </row>
    <row r="44" spans="2:17" x14ac:dyDescent="0.35">
      <c r="C44" s="27">
        <f>C43/'P&amp;L'!D18-1</f>
        <v>2.715432724643474E-2</v>
      </c>
      <c r="D44" s="27">
        <f>D43/C43-1</f>
        <v>7.1233624454148492E-2</v>
      </c>
      <c r="E44" s="27">
        <f t="shared" ref="E44:L44" si="29">E43/D43-1</f>
        <v>0.34356687898089167</v>
      </c>
      <c r="F44" s="27">
        <f t="shared" si="29"/>
        <v>9.471887740589735E-2</v>
      </c>
      <c r="G44" s="27">
        <f t="shared" si="29"/>
        <v>0.1069634505456436</v>
      </c>
      <c r="H44" s="27">
        <f t="shared" si="29"/>
        <v>0.58367889836476028</v>
      </c>
      <c r="I44" s="27">
        <f t="shared" si="29"/>
        <v>0.25645966108393847</v>
      </c>
      <c r="J44" s="27">
        <f t="shared" si="29"/>
        <v>4.8954073608052928E-2</v>
      </c>
      <c r="K44" s="27">
        <f t="shared" si="29"/>
        <v>0.13067436368407237</v>
      </c>
      <c r="L44" s="27">
        <f t="shared" si="29"/>
        <v>9.4983920697543356E-2</v>
      </c>
      <c r="M44" s="53">
        <f>AVERAGE($J44:$L44)</f>
        <v>9.1537452663222885E-2</v>
      </c>
      <c r="N44" s="53">
        <f t="shared" ref="N44:Q44" si="30">AVERAGE($J44:$L44)</f>
        <v>9.1537452663222885E-2</v>
      </c>
      <c r="O44" s="53">
        <f t="shared" si="30"/>
        <v>9.1537452663222885E-2</v>
      </c>
      <c r="P44" s="53">
        <f t="shared" si="30"/>
        <v>9.1537452663222885E-2</v>
      </c>
      <c r="Q44" s="53">
        <f t="shared" si="30"/>
        <v>9.1537452663222885E-2</v>
      </c>
    </row>
    <row r="45" spans="2:17" x14ac:dyDescent="0.35">
      <c r="M45" s="50"/>
      <c r="N45" s="50"/>
      <c r="O45" s="50"/>
      <c r="P45" s="50"/>
      <c r="Q45" s="50"/>
    </row>
    <row r="46" spans="2:17" x14ac:dyDescent="0.35">
      <c r="M46" s="50"/>
      <c r="N46" s="50"/>
      <c r="O46" s="50"/>
      <c r="P46" s="50"/>
      <c r="Q46" s="50"/>
    </row>
    <row r="47" spans="2:17" x14ac:dyDescent="0.35">
      <c r="B47" t="s">
        <v>120</v>
      </c>
      <c r="C47" s="26">
        <f>'Historical FS'!C15</f>
        <v>3801</v>
      </c>
      <c r="D47" s="26">
        <f>'Historical FS'!D15</f>
        <v>4313</v>
      </c>
      <c r="E47" s="26">
        <f>'Historical FS'!E15</f>
        <v>5583</v>
      </c>
      <c r="F47" s="26">
        <f>'Historical FS'!F15</f>
        <v>5024</v>
      </c>
      <c r="G47" s="26">
        <f>'Historical FS'!G15</f>
        <v>3489</v>
      </c>
      <c r="H47" s="26">
        <f>'Historical FS'!H15</f>
        <v>4196</v>
      </c>
      <c r="I47" s="26">
        <f>'Historical FS'!I15</f>
        <v>5109</v>
      </c>
      <c r="J47" s="26">
        <f>'Historical FS'!J15</f>
        <v>5344</v>
      </c>
      <c r="K47" s="26">
        <f>'Historical FS'!K15</f>
        <v>5446</v>
      </c>
      <c r="L47" s="26">
        <f>'Historical FS'!L15</f>
        <v>6521</v>
      </c>
      <c r="M47" s="51">
        <f>M48*M7</f>
        <v>6694.3953999551995</v>
      </c>
      <c r="N47" s="51">
        <f t="shared" ref="N47:Q47" si="31">N48*N7</f>
        <v>7219.3920731131875</v>
      </c>
      <c r="O47" s="51">
        <f t="shared" si="31"/>
        <v>7785.5607252715199</v>
      </c>
      <c r="P47" s="51">
        <f t="shared" si="31"/>
        <v>8396.1301994714431</v>
      </c>
      <c r="Q47" s="51">
        <f t="shared" si="31"/>
        <v>9054.5825553262093</v>
      </c>
    </row>
    <row r="48" spans="2:17" x14ac:dyDescent="0.35">
      <c r="B48" t="s">
        <v>117</v>
      </c>
      <c r="C48" s="27">
        <f>C47/C7</f>
        <v>6.4109699944340431E-2</v>
      </c>
      <c r="D48" s="27">
        <f t="shared" ref="D48:L48" si="32">D47/D7</f>
        <v>6.9630777675529942E-2</v>
      </c>
      <c r="E48" s="27">
        <f t="shared" si="32"/>
        <v>7.6367516106528782E-2</v>
      </c>
      <c r="F48" s="27">
        <f t="shared" si="32"/>
        <v>6.3557124242539245E-2</v>
      </c>
      <c r="G48" s="27">
        <f t="shared" si="32"/>
        <v>4.0611323214451996E-2</v>
      </c>
      <c r="H48" s="27">
        <f t="shared" si="32"/>
        <v>4.0369443909948045E-2</v>
      </c>
      <c r="I48" s="27">
        <f t="shared" si="32"/>
        <v>4.1196961633363977E-2</v>
      </c>
      <c r="J48" s="27">
        <f t="shared" si="32"/>
        <v>4.1447883784601305E-2</v>
      </c>
      <c r="K48" s="27">
        <f t="shared" si="32"/>
        <v>3.9870563429776268E-2</v>
      </c>
      <c r="L48" s="27">
        <f t="shared" si="32"/>
        <v>4.3818329648767966E-2</v>
      </c>
      <c r="M48" s="53">
        <f>AVERAGE($J48:$L48)</f>
        <v>4.1712258954381846E-2</v>
      </c>
      <c r="N48" s="53">
        <f t="shared" ref="N48:Q48" si="33">AVERAGE($J48:$L48)</f>
        <v>4.1712258954381846E-2</v>
      </c>
      <c r="O48" s="53">
        <f t="shared" si="33"/>
        <v>4.1712258954381846E-2</v>
      </c>
      <c r="P48" s="53">
        <f t="shared" si="33"/>
        <v>4.1712258954381846E-2</v>
      </c>
      <c r="Q48" s="53">
        <f t="shared" si="33"/>
        <v>4.1712258954381846E-2</v>
      </c>
    </row>
    <row r="49" spans="1:17" x14ac:dyDescent="0.35">
      <c r="M49" s="50"/>
      <c r="N49" s="50"/>
      <c r="O49" s="50"/>
      <c r="P49" s="50"/>
      <c r="Q49" s="50"/>
    </row>
    <row r="50" spans="1:17" x14ac:dyDescent="0.35">
      <c r="M50" s="50"/>
      <c r="N50" s="50"/>
      <c r="O50" s="50"/>
      <c r="P50" s="50"/>
      <c r="Q50" s="50"/>
    </row>
    <row r="51" spans="1:17" x14ac:dyDescent="0.35">
      <c r="A51" t="s">
        <v>112</v>
      </c>
      <c r="B51" s="24" t="s">
        <v>21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1:17" x14ac:dyDescent="0.35">
      <c r="M52" s="50"/>
      <c r="N52" s="50"/>
      <c r="O52" s="50"/>
      <c r="P52" s="50"/>
      <c r="Q52" s="50"/>
    </row>
    <row r="53" spans="1:17" x14ac:dyDescent="0.35">
      <c r="B53" t="s">
        <v>126</v>
      </c>
      <c r="C53" s="26">
        <f>'Historical FS'!C53</f>
        <v>8605</v>
      </c>
      <c r="D53" s="26">
        <f>'Historical FS'!D53</f>
        <v>9157</v>
      </c>
      <c r="E53" s="26">
        <f>'Historical FS'!E53</f>
        <v>10497</v>
      </c>
      <c r="F53" s="26">
        <f>'Historical FS'!F53</f>
        <v>13974</v>
      </c>
      <c r="G53" s="26">
        <f>'Historical FS'!G53</f>
        <v>14599</v>
      </c>
      <c r="H53" s="26">
        <f>'Historical FS'!H53</f>
        <v>14938</v>
      </c>
      <c r="I53" s="26">
        <f>'Historical FS'!I53</f>
        <v>15431</v>
      </c>
      <c r="J53" s="26">
        <f>'Historical FS'!J53</f>
        <v>14327</v>
      </c>
      <c r="K53" s="26">
        <f>'Historical FS'!K53</f>
        <v>13359</v>
      </c>
      <c r="L53" s="26">
        <f>'Historical FS'!L53</f>
        <v>13836</v>
      </c>
      <c r="M53" s="51">
        <f>M7/M54</f>
        <v>16059.723305390271</v>
      </c>
      <c r="N53" s="51">
        <f t="shared" ref="N53:Q53" si="34">N7/N54</f>
        <v>17319.180030522479</v>
      </c>
      <c r="O53" s="51">
        <f t="shared" si="34"/>
        <v>18677.407526004659</v>
      </c>
      <c r="P53" s="51">
        <f t="shared" si="34"/>
        <v>20142.151722983825</v>
      </c>
      <c r="Q53" s="51">
        <f t="shared" si="34"/>
        <v>21721.766014198336</v>
      </c>
    </row>
    <row r="54" spans="1:17" x14ac:dyDescent="0.35">
      <c r="B54" t="s">
        <v>191</v>
      </c>
      <c r="C54" s="40">
        <f>'Ratio Analysis'!C34</f>
        <v>6.8900639163277164</v>
      </c>
      <c r="D54" s="40">
        <f>'Ratio Analysis'!D34</f>
        <v>6.7643332969313095</v>
      </c>
      <c r="E54" s="40">
        <f>'Ratio Analysis'!E34</f>
        <v>6.9645613032294937</v>
      </c>
      <c r="F54" s="40">
        <f>'Ratio Analysis'!F34</f>
        <v>5.6567196221554319</v>
      </c>
      <c r="G54" s="40">
        <f>'Ratio Analysis'!G34</f>
        <v>5.8847866292211792</v>
      </c>
      <c r="H54" s="40">
        <f>'Ratio Analysis'!H34</f>
        <v>6.9580934529388134</v>
      </c>
      <c r="I54" s="40">
        <f>'Ratio Analysis'!I34</f>
        <v>8.036679411574104</v>
      </c>
      <c r="J54" s="40">
        <f>'Ratio Analysis'!J34</f>
        <v>8.9993020171703773</v>
      </c>
      <c r="K54" s="40">
        <f>'Ratio Analysis'!K34</f>
        <v>10.224717418968485</v>
      </c>
      <c r="L54" s="40">
        <f>'Ratio Analysis'!L34</f>
        <v>10.755926568372361</v>
      </c>
      <c r="M54" s="56">
        <f>AVERAGE($J54:$L54)</f>
        <v>9.9933153348370727</v>
      </c>
      <c r="N54" s="56">
        <f t="shared" ref="N54:Q54" si="35">AVERAGE($J54:$L54)</f>
        <v>9.9933153348370727</v>
      </c>
      <c r="O54" s="56">
        <f t="shared" si="35"/>
        <v>9.9933153348370727</v>
      </c>
      <c r="P54" s="56">
        <f t="shared" si="35"/>
        <v>9.9933153348370727</v>
      </c>
      <c r="Q54" s="56">
        <f t="shared" si="35"/>
        <v>9.9933153348370727</v>
      </c>
    </row>
    <row r="55" spans="1:17" x14ac:dyDescent="0.35"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50"/>
      <c r="N55" s="50"/>
      <c r="O55" s="50"/>
      <c r="P55" s="50"/>
      <c r="Q55" s="50"/>
    </row>
    <row r="56" spans="1:17" x14ac:dyDescent="0.35">
      <c r="B56" t="s">
        <v>21</v>
      </c>
      <c r="C56" s="26">
        <f>'Historical FS'!C25</f>
        <v>1331</v>
      </c>
      <c r="D56" s="26">
        <f>'Historical FS'!D25</f>
        <v>1408</v>
      </c>
      <c r="E56" s="26">
        <f>'Historical FS'!E25</f>
        <v>1599</v>
      </c>
      <c r="F56" s="26">
        <f>'Historical FS'!F25</f>
        <v>2144</v>
      </c>
      <c r="G56" s="26">
        <f>'Historical FS'!G25</f>
        <v>2321</v>
      </c>
      <c r="H56" s="26">
        <f>'Historical FS'!H25</f>
        <v>2429</v>
      </c>
      <c r="I56" s="26">
        <f>'Historical FS'!I25</f>
        <v>2753</v>
      </c>
      <c r="J56" s="26">
        <f>'Historical FS'!J25</f>
        <v>2944</v>
      </c>
      <c r="K56" s="26">
        <f>'Historical FS'!K25</f>
        <v>2619</v>
      </c>
      <c r="L56" s="26">
        <f>'Historical FS'!L25</f>
        <v>2394</v>
      </c>
      <c r="M56" s="51">
        <f>M57*M7</f>
        <v>3107.8389222431301</v>
      </c>
      <c r="N56" s="51">
        <f t="shared" ref="N56:Q56" si="36">N57*N7</f>
        <v>3351.565950213344</v>
      </c>
      <c r="O56" s="51">
        <f t="shared" si="36"/>
        <v>3614.4068594526416</v>
      </c>
      <c r="P56" s="51">
        <f t="shared" si="36"/>
        <v>3897.8606238754514</v>
      </c>
      <c r="Q56" s="51">
        <f t="shared" si="36"/>
        <v>4203.5437718983221</v>
      </c>
    </row>
    <row r="57" spans="1:17" x14ac:dyDescent="0.35">
      <c r="B57" t="s">
        <v>117</v>
      </c>
      <c r="C57" s="27">
        <f>C56/C7</f>
        <v>2.2449358228339152E-2</v>
      </c>
      <c r="D57" s="27">
        <f t="shared" ref="D57:L57" si="37">D56/D7</f>
        <v>2.2731308826141005E-2</v>
      </c>
      <c r="E57" s="27">
        <f t="shared" si="37"/>
        <v>2.1872050556034306E-2</v>
      </c>
      <c r="F57" s="27">
        <f t="shared" si="37"/>
        <v>2.7123103976115476E-2</v>
      </c>
      <c r="G57" s="27">
        <f t="shared" si="37"/>
        <v>2.7016016388863022E-2</v>
      </c>
      <c r="H57" s="27">
        <f t="shared" si="37"/>
        <v>2.3369251491244948E-2</v>
      </c>
      <c r="I57" s="27">
        <f t="shared" si="37"/>
        <v>2.2199106552486008E-2</v>
      </c>
      <c r="J57" s="27">
        <f t="shared" si="37"/>
        <v>2.2833564719660599E-2</v>
      </c>
      <c r="K57" s="27">
        <f t="shared" si="37"/>
        <v>1.9173890125336768E-2</v>
      </c>
      <c r="L57" s="27">
        <f t="shared" si="37"/>
        <v>1.608665560177128E-2</v>
      </c>
      <c r="M57" s="53">
        <f>AVERAGE($J57:$L57)</f>
        <v>1.9364703482256215E-2</v>
      </c>
      <c r="N57" s="53">
        <f t="shared" ref="N57:Q57" si="38">AVERAGE($J57:$L57)</f>
        <v>1.9364703482256215E-2</v>
      </c>
      <c r="O57" s="53">
        <f t="shared" si="38"/>
        <v>1.9364703482256215E-2</v>
      </c>
      <c r="P57" s="53">
        <f t="shared" si="38"/>
        <v>1.9364703482256215E-2</v>
      </c>
      <c r="Q57" s="53">
        <f t="shared" si="38"/>
        <v>1.9364703482256215E-2</v>
      </c>
    </row>
    <row r="58" spans="1:17" x14ac:dyDescent="0.35">
      <c r="M58" s="50"/>
      <c r="N58" s="50"/>
      <c r="O58" s="50"/>
      <c r="P58" s="50"/>
      <c r="Q58" s="50"/>
    </row>
    <row r="59" spans="1:17" x14ac:dyDescent="0.35">
      <c r="M59" s="50"/>
      <c r="N59" s="50"/>
      <c r="O59" s="50"/>
      <c r="P59" s="50"/>
      <c r="Q59" s="50"/>
    </row>
    <row r="60" spans="1:17" x14ac:dyDescent="0.35">
      <c r="A60" t="s">
        <v>112</v>
      </c>
      <c r="B60" s="24" t="s">
        <v>192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</row>
    <row r="61" spans="1:17" x14ac:dyDescent="0.35">
      <c r="M61" s="50"/>
      <c r="N61" s="50"/>
      <c r="O61" s="50"/>
      <c r="P61" s="50"/>
      <c r="Q61" s="50"/>
    </row>
    <row r="62" spans="1:17" x14ac:dyDescent="0.35">
      <c r="B62" t="s">
        <v>33</v>
      </c>
      <c r="C62" s="26">
        <f>'Historical FS'!C47</f>
        <v>0</v>
      </c>
      <c r="D62" s="26">
        <f>'Historical FS'!D47</f>
        <v>0</v>
      </c>
      <c r="E62" s="26">
        <f>'Historical FS'!E47</f>
        <v>0</v>
      </c>
      <c r="F62" s="26">
        <f>'Historical FS'!F47</f>
        <v>3165</v>
      </c>
      <c r="G62" s="26">
        <f>'Historical FS'!G47</f>
        <v>3854</v>
      </c>
      <c r="H62" s="26">
        <f>'Historical FS'!H47</f>
        <v>3786</v>
      </c>
      <c r="I62" s="26">
        <f>'Historical FS'!I47</f>
        <v>4266</v>
      </c>
      <c r="J62" s="26">
        <f>'Historical FS'!J47</f>
        <v>3766</v>
      </c>
      <c r="K62" s="26">
        <f>'Historical FS'!K47</f>
        <v>3459</v>
      </c>
      <c r="L62" s="26">
        <f>'Historical FS'!L47</f>
        <v>3749</v>
      </c>
      <c r="M62" s="51">
        <f>AVERAGE($J$62:$L$62)</f>
        <v>3658</v>
      </c>
      <c r="N62" s="51">
        <f t="shared" ref="N62:Q62" si="39">AVERAGE($J$62:$L$62)</f>
        <v>3658</v>
      </c>
      <c r="O62" s="51">
        <f t="shared" si="39"/>
        <v>3658</v>
      </c>
      <c r="P62" s="51">
        <f t="shared" si="39"/>
        <v>3658</v>
      </c>
      <c r="Q62" s="51">
        <f t="shared" si="39"/>
        <v>3658</v>
      </c>
    </row>
    <row r="63" spans="1:17" x14ac:dyDescent="0.35">
      <c r="M63" s="50"/>
      <c r="N63" s="50"/>
      <c r="O63" s="50"/>
      <c r="P63" s="50"/>
      <c r="Q63" s="50"/>
    </row>
    <row r="64" spans="1:17" x14ac:dyDescent="0.35">
      <c r="M64" s="50"/>
      <c r="N64" s="50"/>
      <c r="O64" s="50"/>
      <c r="P64" s="50"/>
      <c r="Q64" s="50"/>
    </row>
    <row r="65" spans="1:17" x14ac:dyDescent="0.35">
      <c r="B65" t="s">
        <v>22</v>
      </c>
      <c r="C65" s="26">
        <f>'Historical FS'!C22</f>
        <v>0</v>
      </c>
      <c r="D65" s="26">
        <f>'Historical FS'!D22</f>
        <v>0</v>
      </c>
      <c r="E65" s="26">
        <f>'Historical FS'!E22</f>
        <v>0</v>
      </c>
      <c r="F65" s="26">
        <f>'Historical FS'!F22</f>
        <v>114</v>
      </c>
      <c r="G65" s="26">
        <f>'Historical FS'!G22</f>
        <v>126</v>
      </c>
      <c r="H65" s="26">
        <f>'Historical FS'!H22</f>
        <v>128</v>
      </c>
      <c r="I65" s="26">
        <f>'Historical FS'!I22</f>
        <v>157</v>
      </c>
      <c r="J65" s="26">
        <f>'Historical FS'!J22</f>
        <v>277</v>
      </c>
      <c r="K65" s="26">
        <f>'Historical FS'!K22</f>
        <v>221</v>
      </c>
      <c r="L65" s="26">
        <f>'Historical FS'!L22</f>
        <v>207</v>
      </c>
      <c r="M65" s="51">
        <f>M66*M62</f>
        <v>234.91537386215708</v>
      </c>
      <c r="N65" s="51">
        <f t="shared" ref="N65:Q65" si="40">N66*N62</f>
        <v>234.91537386215708</v>
      </c>
      <c r="O65" s="51">
        <f t="shared" si="40"/>
        <v>234.91537386215708</v>
      </c>
      <c r="P65" s="51">
        <f t="shared" si="40"/>
        <v>234.91537386215708</v>
      </c>
      <c r="Q65" s="51">
        <f t="shared" si="40"/>
        <v>234.91537386215708</v>
      </c>
    </row>
    <row r="66" spans="1:17" x14ac:dyDescent="0.35">
      <c r="B66" s="28" t="s">
        <v>123</v>
      </c>
      <c r="C66" s="28" t="s">
        <v>193</v>
      </c>
      <c r="D66" s="28"/>
      <c r="E66" s="28"/>
      <c r="F66" s="29">
        <f>F65/F62</f>
        <v>3.6018957345971561E-2</v>
      </c>
      <c r="G66" s="29">
        <f t="shared" ref="G66:L66" si="41">G65/G62</f>
        <v>3.2693305656460822E-2</v>
      </c>
      <c r="H66" s="29">
        <f t="shared" si="41"/>
        <v>3.3808769149498152E-2</v>
      </c>
      <c r="I66" s="29">
        <f t="shared" si="41"/>
        <v>3.6802625410220349E-2</v>
      </c>
      <c r="J66" s="29">
        <f t="shared" si="41"/>
        <v>7.3552841210833775E-2</v>
      </c>
      <c r="K66" s="29">
        <f t="shared" si="41"/>
        <v>6.3891298063024002E-2</v>
      </c>
      <c r="L66" s="29">
        <f t="shared" si="41"/>
        <v>5.5214723926380369E-2</v>
      </c>
      <c r="M66" s="54">
        <f>AVERAGE($J66:$L66)</f>
        <v>6.4219621066746058E-2</v>
      </c>
      <c r="N66" s="54">
        <f t="shared" ref="N66:Q66" si="42">AVERAGE($J66:$L66)</f>
        <v>6.4219621066746058E-2</v>
      </c>
      <c r="O66" s="54">
        <f t="shared" si="42"/>
        <v>6.4219621066746058E-2</v>
      </c>
      <c r="P66" s="54">
        <f t="shared" si="42"/>
        <v>6.4219621066746058E-2</v>
      </c>
      <c r="Q66" s="54">
        <f t="shared" si="42"/>
        <v>6.4219621066746058E-2</v>
      </c>
    </row>
    <row r="67" spans="1:17" x14ac:dyDescent="0.35">
      <c r="M67" s="50"/>
      <c r="N67" s="50"/>
      <c r="O67" s="50"/>
      <c r="P67" s="50"/>
      <c r="Q67" s="50"/>
    </row>
    <row r="68" spans="1:17" x14ac:dyDescent="0.35">
      <c r="M68" s="50"/>
      <c r="N68" s="50"/>
      <c r="O68" s="50"/>
      <c r="P68" s="50"/>
      <c r="Q68" s="50"/>
    </row>
    <row r="69" spans="1:17" x14ac:dyDescent="0.35">
      <c r="A69" t="s">
        <v>112</v>
      </c>
      <c r="B69" s="24" t="s">
        <v>194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</row>
    <row r="70" spans="1:17" x14ac:dyDescent="0.35">
      <c r="M70" s="50"/>
      <c r="N70" s="50"/>
      <c r="O70" s="50"/>
      <c r="P70" s="50"/>
      <c r="Q70" s="50"/>
    </row>
    <row r="71" spans="1:17" x14ac:dyDescent="0.35">
      <c r="B71" t="s">
        <v>20</v>
      </c>
      <c r="C71" s="26">
        <f>'Historical FS'!C28</f>
        <v>3062</v>
      </c>
      <c r="D71" s="26">
        <f>'Historical FS'!D28</f>
        <v>4019</v>
      </c>
      <c r="E71" s="26">
        <f>'Historical FS'!E28</f>
        <v>2852</v>
      </c>
      <c r="F71" s="26">
        <f>'Historical FS'!F28</f>
        <v>2700</v>
      </c>
      <c r="G71" s="26">
        <f>'Historical FS'!G28</f>
        <v>2467</v>
      </c>
      <c r="H71" s="26">
        <f>'Historical FS'!H28</f>
        <v>3224</v>
      </c>
      <c r="I71" s="26">
        <f>'Historical FS'!I28</f>
        <v>3859</v>
      </c>
      <c r="J71" s="26">
        <f>'Historical FS'!J28</f>
        <v>7417</v>
      </c>
      <c r="K71" s="26">
        <f>'Historical FS'!K28</f>
        <v>4782</v>
      </c>
      <c r="L71" s="26">
        <f>'Historical FS'!L28</f>
        <v>5345</v>
      </c>
      <c r="M71" s="51">
        <f>M72*M7</f>
        <v>6871.7211408614785</v>
      </c>
      <c r="N71" s="51">
        <f t="shared" ref="N71:Q71" si="43">N72*N7</f>
        <v>7410.6242862965137</v>
      </c>
      <c r="O71" s="51">
        <f t="shared" si="43"/>
        <v>7991.7900023752954</v>
      </c>
      <c r="P71" s="51">
        <f t="shared" si="43"/>
        <v>8618.5326599500731</v>
      </c>
      <c r="Q71" s="51">
        <f t="shared" si="43"/>
        <v>9294.4265538194923</v>
      </c>
    </row>
    <row r="72" spans="1:17" x14ac:dyDescent="0.35">
      <c r="B72" t="s">
        <v>117</v>
      </c>
      <c r="C72" s="29">
        <f>C71/C7</f>
        <v>5.1645330499755435E-2</v>
      </c>
      <c r="D72" s="29">
        <f t="shared" ref="D72:L72" si="44">D71/D7</f>
        <v>6.4884325406435156E-2</v>
      </c>
      <c r="E72" s="29">
        <f t="shared" si="44"/>
        <v>3.9011312186247558E-2</v>
      </c>
      <c r="F72" s="29">
        <f t="shared" si="44"/>
        <v>3.4156893999772286E-2</v>
      </c>
      <c r="G72" s="29">
        <f t="shared" si="44"/>
        <v>2.8715429742061645E-2</v>
      </c>
      <c r="H72" s="29">
        <f t="shared" si="44"/>
        <v>3.101789493938811E-2</v>
      </c>
      <c r="I72" s="29">
        <f t="shared" si="44"/>
        <v>3.1117454480945699E-2</v>
      </c>
      <c r="J72" s="29">
        <f t="shared" si="44"/>
        <v>5.7526001876943837E-2</v>
      </c>
      <c r="K72" s="29">
        <f t="shared" si="44"/>
        <v>3.5009370973409865E-2</v>
      </c>
      <c r="L72" s="29">
        <f t="shared" si="44"/>
        <v>3.5916112861932949E-2</v>
      </c>
      <c r="M72" s="53">
        <f>AVERAGE($J72:$L72)</f>
        <v>4.2817161904095548E-2</v>
      </c>
      <c r="N72" s="53">
        <f t="shared" ref="N72:Q72" si="45">AVERAGE($J72:$L72)</f>
        <v>4.2817161904095548E-2</v>
      </c>
      <c r="O72" s="53">
        <f t="shared" si="45"/>
        <v>4.2817161904095548E-2</v>
      </c>
      <c r="P72" s="53">
        <f t="shared" si="45"/>
        <v>4.2817161904095548E-2</v>
      </c>
      <c r="Q72" s="53">
        <f t="shared" si="45"/>
        <v>4.2817161904095548E-2</v>
      </c>
    </row>
    <row r="73" spans="1:17" x14ac:dyDescent="0.35">
      <c r="M73" s="50"/>
      <c r="N73" s="50"/>
      <c r="O73" s="50"/>
      <c r="P73" s="50"/>
      <c r="Q73" s="50"/>
    </row>
    <row r="74" spans="1:17" x14ac:dyDescent="0.35">
      <c r="M74" s="50"/>
      <c r="N74" s="50"/>
      <c r="O74" s="50"/>
      <c r="P74" s="50"/>
      <c r="Q74" s="50"/>
    </row>
    <row r="75" spans="1:17" x14ac:dyDescent="0.35">
      <c r="B75" t="s">
        <v>39</v>
      </c>
      <c r="C75" s="26">
        <f>'Historical FS'!C62</f>
        <v>14228</v>
      </c>
      <c r="D75" s="26">
        <f>'Historical FS'!D62</f>
        <v>17193</v>
      </c>
      <c r="E75" s="26">
        <f>'Historical FS'!E62</f>
        <v>18316</v>
      </c>
      <c r="F75" s="26">
        <f>'Historical FS'!F62</f>
        <v>17554</v>
      </c>
      <c r="G75" s="26">
        <f>'Historical FS'!G62</f>
        <v>18624</v>
      </c>
      <c r="H75" s="26">
        <f>'Historical FS'!H62</f>
        <v>22049</v>
      </c>
      <c r="I75" s="26">
        <f>'Historical FS'!I62</f>
        <v>27259</v>
      </c>
      <c r="J75" s="26">
        <f>'Historical FS'!J62</f>
        <v>23596</v>
      </c>
      <c r="K75" s="26">
        <f>'Historical FS'!K62</f>
        <v>25574</v>
      </c>
      <c r="L75" s="26">
        <f>'Historical FS'!L62</f>
        <v>28643</v>
      </c>
      <c r="M75" s="51">
        <f>M76*M7</f>
        <v>30102.958468959332</v>
      </c>
      <c r="N75" s="51">
        <f t="shared" ref="N75:Q75" si="46">N76*N7</f>
        <v>32463.732236299471</v>
      </c>
      <c r="O75" s="51">
        <f t="shared" si="46"/>
        <v>35009.645706313961</v>
      </c>
      <c r="P75" s="51">
        <f t="shared" si="46"/>
        <v>37755.218148057931</v>
      </c>
      <c r="Q75" s="51">
        <f t="shared" si="46"/>
        <v>40716.107479784157</v>
      </c>
    </row>
    <row r="76" spans="1:17" x14ac:dyDescent="0.35">
      <c r="B76" t="s">
        <v>117</v>
      </c>
      <c r="C76" s="27">
        <f>C75/C7</f>
        <v>0.23997706151225354</v>
      </c>
      <c r="D76" s="27">
        <f t="shared" ref="D76:L76" si="47">D75/D7</f>
        <v>0.2775705913692062</v>
      </c>
      <c r="E76" s="27">
        <f t="shared" si="47"/>
        <v>0.25053688429288579</v>
      </c>
      <c r="F76" s="27">
        <f t="shared" si="47"/>
        <v>0.22207041380444545</v>
      </c>
      <c r="G76" s="27">
        <f t="shared" si="47"/>
        <v>0.21677996089021323</v>
      </c>
      <c r="H76" s="27">
        <f t="shared" si="47"/>
        <v>0.21213199923032519</v>
      </c>
      <c r="I76" s="27">
        <f t="shared" si="47"/>
        <v>0.21980582837421581</v>
      </c>
      <c r="J76" s="27">
        <f t="shared" si="47"/>
        <v>0.18300978027347536</v>
      </c>
      <c r="K76" s="27">
        <f t="shared" si="47"/>
        <v>0.18722912029987115</v>
      </c>
      <c r="L76" s="27">
        <f t="shared" si="47"/>
        <v>0.1924687035929552</v>
      </c>
      <c r="M76" s="53">
        <f>AVERAGE($J76:$L76)</f>
        <v>0.18756920138876723</v>
      </c>
      <c r="N76" s="53">
        <f t="shared" ref="N76:Q76" si="48">AVERAGE($J76:$L76)</f>
        <v>0.18756920138876723</v>
      </c>
      <c r="O76" s="53">
        <f t="shared" si="48"/>
        <v>0.18756920138876723</v>
      </c>
      <c r="P76" s="53">
        <f t="shared" si="48"/>
        <v>0.18756920138876723</v>
      </c>
      <c r="Q76" s="53">
        <f t="shared" si="48"/>
        <v>0.18756920138876723</v>
      </c>
    </row>
    <row r="77" spans="1:17" x14ac:dyDescent="0.35">
      <c r="M77" s="50"/>
      <c r="N77" s="50"/>
      <c r="O77" s="50"/>
      <c r="P77" s="50"/>
      <c r="Q77" s="50"/>
    </row>
    <row r="78" spans="1:17" x14ac:dyDescent="0.35">
      <c r="B78" t="s">
        <v>217</v>
      </c>
      <c r="C78" s="26">
        <f>'Historical FS'!C48</f>
        <v>11868</v>
      </c>
      <c r="D78" s="26">
        <f>'Historical FS'!D48</f>
        <v>11870</v>
      </c>
      <c r="E78" s="26">
        <f>'Historical FS'!E48</f>
        <v>15678</v>
      </c>
      <c r="F78" s="26">
        <f>'Historical FS'!F48</f>
        <v>15086</v>
      </c>
      <c r="G78" s="26">
        <f>'Historical FS'!G48</f>
        <v>18043</v>
      </c>
      <c r="H78" s="26">
        <f>'Historical FS'!H48</f>
        <v>25454</v>
      </c>
      <c r="I78" s="26">
        <f>'Historical FS'!I48</f>
        <v>28547</v>
      </c>
      <c r="J78" s="26">
        <f>'Historical FS'!J48</f>
        <v>30008</v>
      </c>
      <c r="K78" s="26">
        <f>'Historical FS'!K48</f>
        <v>33648</v>
      </c>
      <c r="L78" s="26">
        <f>'Historical FS'!L48</f>
        <v>41078</v>
      </c>
      <c r="M78" s="51">
        <f>M80+M82</f>
        <v>40518.195693358284</v>
      </c>
      <c r="N78" s="51">
        <f>N80+N82</f>
        <v>43741.63375760796</v>
      </c>
      <c r="O78" s="51">
        <f t="shared" ref="O78:Q78" si="49">O80+O82</f>
        <v>47222.063054700142</v>
      </c>
      <c r="P78" s="51">
        <f t="shared" si="49"/>
        <v>50980.022012195273</v>
      </c>
      <c r="Q78" s="51">
        <f t="shared" si="49"/>
        <v>55037.694929193291</v>
      </c>
    </row>
    <row r="79" spans="1:17" x14ac:dyDescent="0.35"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53"/>
      <c r="N79" s="53"/>
      <c r="O79" s="53"/>
      <c r="P79" s="53"/>
      <c r="Q79" s="53"/>
    </row>
    <row r="80" spans="1:17" x14ac:dyDescent="0.35">
      <c r="B80" t="s">
        <v>215</v>
      </c>
      <c r="C80" s="26">
        <f>C99</f>
        <v>269</v>
      </c>
      <c r="D80" s="26">
        <f t="shared" ref="D80:Q80" si="50">D99</f>
        <v>738</v>
      </c>
      <c r="E80" s="26">
        <f t="shared" si="50"/>
        <v>1604</v>
      </c>
      <c r="F80" s="26">
        <f t="shared" si="50"/>
        <v>1529</v>
      </c>
      <c r="G80" s="26">
        <f t="shared" si="50"/>
        <v>1562</v>
      </c>
      <c r="H80" s="26">
        <f t="shared" si="50"/>
        <v>2669</v>
      </c>
      <c r="I80" s="26">
        <f t="shared" si="50"/>
        <v>2426</v>
      </c>
      <c r="J80" s="26">
        <f t="shared" si="50"/>
        <v>2493</v>
      </c>
      <c r="K80" s="26">
        <f t="shared" si="50"/>
        <v>2728</v>
      </c>
      <c r="L80" s="26">
        <f t="shared" si="50"/>
        <v>3539</v>
      </c>
      <c r="M80" s="51">
        <f t="shared" si="50"/>
        <v>3497.5134977971611</v>
      </c>
      <c r="N80" s="51">
        <f t="shared" si="50"/>
        <v>3817.6669740407515</v>
      </c>
      <c r="O80" s="51">
        <f t="shared" si="50"/>
        <v>4167.1264839609557</v>
      </c>
      <c r="P80" s="51">
        <f t="shared" si="50"/>
        <v>4548.574627228194</v>
      </c>
      <c r="Q80" s="51">
        <f t="shared" si="50"/>
        <v>4964.9395618532317</v>
      </c>
    </row>
    <row r="81" spans="1:17" x14ac:dyDescent="0.35"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51"/>
      <c r="N81" s="51"/>
      <c r="O81" s="51"/>
      <c r="P81" s="51"/>
      <c r="Q81" s="51"/>
    </row>
    <row r="82" spans="1:17" x14ac:dyDescent="0.35">
      <c r="B82" t="s">
        <v>216</v>
      </c>
      <c r="C82" s="26">
        <f t="shared" ref="C82:L82" si="51">C78-C80</f>
        <v>11599</v>
      </c>
      <c r="D82" s="26">
        <f t="shared" si="51"/>
        <v>11132</v>
      </c>
      <c r="E82" s="26">
        <f t="shared" si="51"/>
        <v>14074</v>
      </c>
      <c r="F82" s="26">
        <f t="shared" si="51"/>
        <v>13557</v>
      </c>
      <c r="G82" s="26">
        <f t="shared" si="51"/>
        <v>16481</v>
      </c>
      <c r="H82" s="26">
        <f t="shared" si="51"/>
        <v>22785</v>
      </c>
      <c r="I82" s="26">
        <f t="shared" si="51"/>
        <v>26121</v>
      </c>
      <c r="J82" s="26">
        <f t="shared" si="51"/>
        <v>27515</v>
      </c>
      <c r="K82" s="26">
        <f t="shared" si="51"/>
        <v>30920</v>
      </c>
      <c r="L82" s="26">
        <f t="shared" si="51"/>
        <v>37539</v>
      </c>
      <c r="M82" s="51">
        <f>M83*M7</f>
        <v>37020.682195561123</v>
      </c>
      <c r="N82" s="51">
        <f>N83*N7</f>
        <v>39923.966783567208</v>
      </c>
      <c r="O82" s="51">
        <f>O83*O7</f>
        <v>43054.936570739184</v>
      </c>
      <c r="P82" s="51">
        <f>P83*P7</f>
        <v>46431.447384967083</v>
      </c>
      <c r="Q82" s="51">
        <f>Q83*Q7</f>
        <v>50072.755367340062</v>
      </c>
    </row>
    <row r="83" spans="1:17" x14ac:dyDescent="0.35">
      <c r="B83" t="s">
        <v>117</v>
      </c>
      <c r="C83" s="27">
        <f t="shared" ref="C83:L83" si="52">C82/C7</f>
        <v>0.1956349407141291</v>
      </c>
      <c r="D83" s="27">
        <f t="shared" si="52"/>
        <v>0.17971941040667733</v>
      </c>
      <c r="E83" s="27">
        <f t="shared" si="52"/>
        <v>0.19251234491909119</v>
      </c>
      <c r="F83" s="27">
        <f t="shared" si="52"/>
        <v>0.17150555998330108</v>
      </c>
      <c r="G83" s="27">
        <f t="shared" si="52"/>
        <v>0.19183583201415402</v>
      </c>
      <c r="H83" s="27">
        <f t="shared" si="52"/>
        <v>0.21921300750432943</v>
      </c>
      <c r="I83" s="27">
        <f t="shared" si="52"/>
        <v>0.21062944506265421</v>
      </c>
      <c r="J83" s="27">
        <f t="shared" si="52"/>
        <v>0.21340541211326813</v>
      </c>
      <c r="K83" s="27">
        <f t="shared" si="52"/>
        <v>0.22636757643200187</v>
      </c>
      <c r="L83" s="27">
        <f t="shared" si="52"/>
        <v>0.25224601697363913</v>
      </c>
      <c r="M83" s="53">
        <f>AVERAGE($J83:$L83)</f>
        <v>0.23067300183963638</v>
      </c>
      <c r="N83" s="53">
        <f t="shared" ref="N83:Q83" si="53">AVERAGE($J83:$L83)</f>
        <v>0.23067300183963638</v>
      </c>
      <c r="O83" s="53">
        <f t="shared" si="53"/>
        <v>0.23067300183963638</v>
      </c>
      <c r="P83" s="53">
        <f t="shared" si="53"/>
        <v>0.23067300183963638</v>
      </c>
      <c r="Q83" s="53">
        <f t="shared" si="53"/>
        <v>0.23067300183963638</v>
      </c>
    </row>
    <row r="84" spans="1:17" x14ac:dyDescent="0.35">
      <c r="M84" s="50"/>
      <c r="N84" s="50"/>
      <c r="O84" s="50"/>
      <c r="P84" s="50"/>
      <c r="Q84" s="50"/>
    </row>
    <row r="85" spans="1:17" x14ac:dyDescent="0.35">
      <c r="B85" t="s">
        <v>160</v>
      </c>
      <c r="C85" s="26">
        <f>'Historical FS'!C39</f>
        <v>5912.2</v>
      </c>
      <c r="D85" s="26">
        <f>'Historical FS'!D39</f>
        <v>9500.4</v>
      </c>
      <c r="E85" s="26">
        <f>'Historical FS'!E39</f>
        <v>9365.4</v>
      </c>
      <c r="F85" s="26">
        <f>'Historical FS'!F39</f>
        <v>7451.5</v>
      </c>
      <c r="G85" s="26">
        <f>'Historical FS'!G39</f>
        <v>11502</v>
      </c>
      <c r="H85" s="26">
        <f>'Historical FS'!H39</f>
        <v>13038.6</v>
      </c>
      <c r="I85" s="26">
        <f>'Historical FS'!I39</f>
        <v>14103.2</v>
      </c>
      <c r="J85" s="26">
        <f>'Historical FS'!J39</f>
        <v>19090</v>
      </c>
      <c r="K85" s="26">
        <f>'Historical FS'!K39</f>
        <v>17853.599999999999</v>
      </c>
      <c r="L85" s="26">
        <f>'Historical FS'!L39</f>
        <v>19459.2</v>
      </c>
      <c r="M85" s="50"/>
      <c r="N85" s="50"/>
      <c r="O85" s="50"/>
      <c r="P85" s="50"/>
      <c r="Q85" s="50"/>
    </row>
    <row r="86" spans="1:17" x14ac:dyDescent="0.35">
      <c r="B86" t="s">
        <v>195</v>
      </c>
      <c r="C86" s="27">
        <f>'Historical FS'!C40</f>
        <v>0.42786220871327252</v>
      </c>
      <c r="D86" s="27">
        <f>'Historical FS'!D40</f>
        <v>0.58807799442896935</v>
      </c>
      <c r="E86" s="27">
        <f>'Historical FS'!E40</f>
        <v>0.63701537205822334</v>
      </c>
      <c r="F86" s="27">
        <f>'Historical FS'!F40</f>
        <v>0.4794119539342469</v>
      </c>
      <c r="G86" s="27">
        <f>'Historical FS'!G40</f>
        <v>0.63730053191489366</v>
      </c>
      <c r="H86" s="27">
        <f>'Historical FS'!H40</f>
        <v>0.61401459854014595</v>
      </c>
      <c r="I86" s="27">
        <f>'Historical FS'!I40</f>
        <v>0.60611999312360332</v>
      </c>
      <c r="J86" s="27">
        <f>'Historical FS'!J40</f>
        <v>0.70096203275317615</v>
      </c>
      <c r="K86" s="27">
        <f>'Historical FS'!K40</f>
        <v>0.69827909887359196</v>
      </c>
      <c r="L86" s="27">
        <f>'Historical FS'!L40</f>
        <v>0.66616000821608301</v>
      </c>
      <c r="M86" s="53">
        <f>AVERAGE($J86:$L86)</f>
        <v>0.68846704661428371</v>
      </c>
      <c r="N86" s="53">
        <f t="shared" ref="N86:Q86" si="54">AVERAGE($J86:$L86)</f>
        <v>0.68846704661428371</v>
      </c>
      <c r="O86" s="53">
        <f t="shared" si="54"/>
        <v>0.68846704661428371</v>
      </c>
      <c r="P86" s="53">
        <f t="shared" si="54"/>
        <v>0.68846704661428371</v>
      </c>
      <c r="Q86" s="53">
        <f t="shared" si="54"/>
        <v>0.68846704661428371</v>
      </c>
    </row>
    <row r="87" spans="1:17" x14ac:dyDescent="0.35">
      <c r="B87" t="s">
        <v>162</v>
      </c>
      <c r="C87" s="27">
        <f>1-C86</f>
        <v>0.57213779128672748</v>
      </c>
      <c r="D87" s="27">
        <f t="shared" ref="D87:L87" si="55">1-D86</f>
        <v>0.41192200557103065</v>
      </c>
      <c r="E87" s="27">
        <f t="shared" si="55"/>
        <v>0.36298462794177666</v>
      </c>
      <c r="F87" s="27">
        <f t="shared" si="55"/>
        <v>0.52058804606575304</v>
      </c>
      <c r="G87" s="27">
        <f t="shared" si="55"/>
        <v>0.36269946808510634</v>
      </c>
      <c r="H87" s="27">
        <f t="shared" si="55"/>
        <v>0.38598540145985405</v>
      </c>
      <c r="I87" s="27">
        <f t="shared" si="55"/>
        <v>0.39388000687639668</v>
      </c>
      <c r="J87" s="27">
        <f t="shared" si="55"/>
        <v>0.29903796724682385</v>
      </c>
      <c r="K87" s="27">
        <f t="shared" si="55"/>
        <v>0.30172090112640804</v>
      </c>
      <c r="L87" s="27">
        <f t="shared" si="55"/>
        <v>0.33383999178391699</v>
      </c>
      <c r="M87" s="53">
        <f>1-M86</f>
        <v>0.31153295338571629</v>
      </c>
      <c r="N87" s="53">
        <f t="shared" ref="N87:Q87" si="56">1-N86</f>
        <v>0.31153295338571629</v>
      </c>
      <c r="O87" s="53">
        <f t="shared" si="56"/>
        <v>0.31153295338571629</v>
      </c>
      <c r="P87" s="53">
        <f t="shared" si="56"/>
        <v>0.31153295338571629</v>
      </c>
      <c r="Q87" s="53">
        <f t="shared" si="56"/>
        <v>0.31153295338571629</v>
      </c>
    </row>
    <row r="88" spans="1:17" x14ac:dyDescent="0.35">
      <c r="M88" s="50"/>
      <c r="N88" s="50"/>
      <c r="O88" s="50"/>
      <c r="P88" s="50"/>
      <c r="Q88" s="50"/>
    </row>
    <row r="89" spans="1:17" x14ac:dyDescent="0.35">
      <c r="B89" t="s">
        <v>24</v>
      </c>
      <c r="M89" s="57">
        <v>0.25169999999999998</v>
      </c>
      <c r="N89" s="57">
        <v>0.25169999999999998</v>
      </c>
      <c r="O89" s="57">
        <v>0.25169999999999998</v>
      </c>
      <c r="P89" s="57">
        <v>0.25169999999999998</v>
      </c>
      <c r="Q89" s="57">
        <v>0.25169999999999998</v>
      </c>
    </row>
    <row r="90" spans="1:17" x14ac:dyDescent="0.35">
      <c r="M90" s="50"/>
      <c r="N90" s="50"/>
      <c r="O90" s="50"/>
      <c r="P90" s="50"/>
      <c r="Q90" s="50"/>
    </row>
    <row r="91" spans="1:17" x14ac:dyDescent="0.35">
      <c r="M91" s="50"/>
      <c r="N91" s="50"/>
      <c r="O91" s="50"/>
      <c r="P91" s="50"/>
      <c r="Q91" s="50"/>
    </row>
    <row r="92" spans="1:17" x14ac:dyDescent="0.35">
      <c r="M92" s="50"/>
      <c r="N92" s="50"/>
      <c r="O92" s="50"/>
      <c r="P92" s="50"/>
      <c r="Q92" s="50"/>
    </row>
    <row r="93" spans="1:17" x14ac:dyDescent="0.35">
      <c r="A93" t="s">
        <v>112</v>
      </c>
      <c r="B93" s="24" t="s">
        <v>197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</row>
    <row r="94" spans="1:17" x14ac:dyDescent="0.35">
      <c r="M94" s="50"/>
      <c r="N94" s="50"/>
      <c r="O94" s="50"/>
      <c r="P94" s="50"/>
      <c r="Q94" s="50"/>
    </row>
    <row r="95" spans="1:17" x14ac:dyDescent="0.35">
      <c r="B95" t="s">
        <v>198</v>
      </c>
      <c r="C95" s="26">
        <f>'Historical FS'!C59</f>
        <v>10960</v>
      </c>
      <c r="D95" s="26">
        <f>'Historical FS'!D59</f>
        <v>12151</v>
      </c>
      <c r="E95" s="26">
        <f>'Historical FS'!E59</f>
        <v>13370</v>
      </c>
      <c r="F95" s="26">
        <f>'Historical FS'!F59</f>
        <v>15459</v>
      </c>
      <c r="G95" s="26">
        <f>'Historical FS'!G59</f>
        <v>16394</v>
      </c>
      <c r="H95" s="26">
        <f>'Historical FS'!H59</f>
        <v>18966</v>
      </c>
      <c r="I95" s="26">
        <f>'Historical FS'!I59</f>
        <v>20773</v>
      </c>
      <c r="J95" s="26">
        <f>'Historical FS'!J59</f>
        <v>25152</v>
      </c>
      <c r="K95" s="26">
        <f>'Historical FS'!K59</f>
        <v>26413</v>
      </c>
      <c r="L95" s="26">
        <f>'Historical FS'!L59</f>
        <v>30337</v>
      </c>
      <c r="M95" s="51">
        <f>M7*M96/360</f>
        <v>31686.117242234701</v>
      </c>
      <c r="N95" s="51">
        <f>N7*N96/360</f>
        <v>34171.047567321046</v>
      </c>
      <c r="O95" s="51">
        <f>O7*O96/360</f>
        <v>36850.854363807397</v>
      </c>
      <c r="P95" s="51">
        <f>P7*P96/360</f>
        <v>39740.820490420985</v>
      </c>
      <c r="Q95" s="51">
        <f>Q7*Q96/360</f>
        <v>42857.427338319365</v>
      </c>
    </row>
    <row r="96" spans="1:17" x14ac:dyDescent="0.35">
      <c r="B96" t="s">
        <v>199</v>
      </c>
      <c r="C96" s="8">
        <f>'Ratio Analysis'!C38</f>
        <v>66.548600920912818</v>
      </c>
      <c r="D96" s="8">
        <f>'Ratio Analysis'!D38</f>
        <v>70.621397781760066</v>
      </c>
      <c r="E96" s="8">
        <f>'Ratio Analysis'!E38</f>
        <v>65.837744675612456</v>
      </c>
      <c r="F96" s="8">
        <f>'Ratio Analysis'!F38</f>
        <v>70.404189912330637</v>
      </c>
      <c r="G96" s="8">
        <f>'Ratio Analysis'!G38</f>
        <v>68.696340441381878</v>
      </c>
      <c r="H96" s="8">
        <f>'Ratio Analysis'!H38</f>
        <v>65.689436213199926</v>
      </c>
      <c r="I96" s="8">
        <f>'Ratio Analysis'!I38</f>
        <v>60.301901398229234</v>
      </c>
      <c r="J96" s="8">
        <f>'Ratio Analysis'!J38</f>
        <v>70.22810296820829</v>
      </c>
      <c r="K96" s="8">
        <f>'Ratio Analysis'!K38</f>
        <v>69.613740189762211</v>
      </c>
      <c r="L96" s="8">
        <f>'Ratio Analysis'!L38</f>
        <v>73.386597141494036</v>
      </c>
      <c r="M96" s="52">
        <f>AVERAGE($J96:$L96)</f>
        <v>71.076146766488179</v>
      </c>
      <c r="N96" s="52">
        <f t="shared" ref="N96:Q96" si="57">AVERAGE($J96:$L96)</f>
        <v>71.076146766488179</v>
      </c>
      <c r="O96" s="52">
        <f t="shared" si="57"/>
        <v>71.076146766488179</v>
      </c>
      <c r="P96" s="52">
        <f t="shared" si="57"/>
        <v>71.076146766488179</v>
      </c>
      <c r="Q96" s="52">
        <f t="shared" si="57"/>
        <v>71.076146766488179</v>
      </c>
    </row>
    <row r="97" spans="2:17" x14ac:dyDescent="0.35">
      <c r="M97" s="50"/>
      <c r="N97" s="50"/>
      <c r="O97" s="50"/>
      <c r="P97" s="50"/>
      <c r="Q97" s="50"/>
    </row>
    <row r="98" spans="2:17" x14ac:dyDescent="0.35">
      <c r="M98" s="50"/>
      <c r="N98" s="50"/>
      <c r="O98" s="50"/>
      <c r="P98" s="50"/>
      <c r="Q98" s="50"/>
    </row>
    <row r="99" spans="2:17" x14ac:dyDescent="0.35">
      <c r="B99" t="s">
        <v>200</v>
      </c>
      <c r="C99" s="26">
        <f>'Balance sheet'!E19</f>
        <v>269</v>
      </c>
      <c r="D99" s="26">
        <f>'Balance sheet'!F19</f>
        <v>738</v>
      </c>
      <c r="E99" s="26">
        <f>'Balance sheet'!G19</f>
        <v>1604</v>
      </c>
      <c r="F99" s="26">
        <f>'Balance sheet'!H19</f>
        <v>1529</v>
      </c>
      <c r="G99" s="26">
        <f>'Balance sheet'!I19</f>
        <v>1562</v>
      </c>
      <c r="H99" s="26">
        <f>'Balance sheet'!J19</f>
        <v>2669</v>
      </c>
      <c r="I99" s="26">
        <f>'Balance sheet'!K19</f>
        <v>2426</v>
      </c>
      <c r="J99" s="26">
        <f>'Balance sheet'!L19</f>
        <v>2493</v>
      </c>
      <c r="K99" s="26">
        <f>'Balance sheet'!M19</f>
        <v>2728</v>
      </c>
      <c r="L99" s="26">
        <f>'Balance sheet'!N19</f>
        <v>3539</v>
      </c>
      <c r="M99" s="51">
        <f>M43*M100/360</f>
        <v>3497.5134977971611</v>
      </c>
      <c r="N99" s="51">
        <f>N43*N100/360</f>
        <v>3817.6669740407515</v>
      </c>
      <c r="O99" s="51">
        <f>O43*O100/360</f>
        <v>4167.1264839609557</v>
      </c>
      <c r="P99" s="51">
        <f>P43*P100/360</f>
        <v>4548.574627228194</v>
      </c>
      <c r="Q99" s="51">
        <f>Q43*Q100/360</f>
        <v>4964.9395618532317</v>
      </c>
    </row>
    <row r="100" spans="2:17" x14ac:dyDescent="0.35">
      <c r="B100" t="s">
        <v>201</v>
      </c>
      <c r="C100" s="8">
        <f t="shared" ref="C100:L100" si="58">360*C99/C43</f>
        <v>13.215065502183407</v>
      </c>
      <c r="D100" s="8">
        <f t="shared" si="58"/>
        <v>33.844585987261148</v>
      </c>
      <c r="E100" s="8">
        <f t="shared" si="58"/>
        <v>54.749217787048451</v>
      </c>
      <c r="F100" s="8">
        <f t="shared" si="58"/>
        <v>47.673653213234019</v>
      </c>
      <c r="G100" s="8">
        <f t="shared" si="58"/>
        <v>43.996557389875598</v>
      </c>
      <c r="H100" s="8">
        <f t="shared" si="58"/>
        <v>47.469986660738108</v>
      </c>
      <c r="I100" s="8">
        <f t="shared" si="58"/>
        <v>34.340987731991191</v>
      </c>
      <c r="J100" s="8">
        <f t="shared" si="58"/>
        <v>33.642463545376167</v>
      </c>
      <c r="K100" s="8">
        <f t="shared" si="58"/>
        <v>32.559095580678317</v>
      </c>
      <c r="L100" s="8">
        <f t="shared" si="58"/>
        <v>38.574542812159379</v>
      </c>
      <c r="M100" s="52">
        <f>AVERAGE($J100:$L100)</f>
        <v>34.925367312737954</v>
      </c>
      <c r="N100" s="52">
        <f t="shared" ref="N100:Q100" si="59">AVERAGE($J100:$L100)</f>
        <v>34.925367312737954</v>
      </c>
      <c r="O100" s="52">
        <f t="shared" si="59"/>
        <v>34.925367312737954</v>
      </c>
      <c r="P100" s="52">
        <f t="shared" si="59"/>
        <v>34.925367312737954</v>
      </c>
      <c r="Q100" s="52">
        <f t="shared" si="59"/>
        <v>34.925367312737954</v>
      </c>
    </row>
    <row r="101" spans="2:17" x14ac:dyDescent="0.35">
      <c r="M101" s="50"/>
      <c r="N101" s="50"/>
      <c r="O101" s="50"/>
      <c r="P101" s="50"/>
      <c r="Q101" s="50"/>
    </row>
    <row r="102" spans="2:17" x14ac:dyDescent="0.35">
      <c r="B102" t="s">
        <v>128</v>
      </c>
      <c r="C102" s="26">
        <f>'Historical FS'!C61</f>
        <v>715</v>
      </c>
      <c r="D102" s="26">
        <f>'Historical FS'!D61</f>
        <v>760</v>
      </c>
      <c r="E102" s="26">
        <f>'Historical FS'!E61</f>
        <v>1304</v>
      </c>
      <c r="F102" s="26">
        <f>'Historical FS'!F61</f>
        <v>1069</v>
      </c>
      <c r="G102" s="26">
        <f>'Historical FS'!G61</f>
        <v>1138</v>
      </c>
      <c r="H102" s="26">
        <f>'Historical FS'!H61</f>
        <v>1576</v>
      </c>
      <c r="I102" s="26">
        <f>'Historical FS'!I61</f>
        <v>2124</v>
      </c>
      <c r="J102" s="26">
        <f>'Historical FS'!J61</f>
        <v>8748</v>
      </c>
      <c r="K102" s="26">
        <f>'Historical FS'!K61</f>
        <v>5532</v>
      </c>
      <c r="L102" s="26">
        <f>'Historical FS'!L61</f>
        <v>5571</v>
      </c>
      <c r="M102" s="51">
        <f>M103*M7</f>
        <v>6253.8822943371933</v>
      </c>
      <c r="N102" s="51">
        <f>N103*N7</f>
        <v>6744.3324698482847</v>
      </c>
      <c r="O102" s="51">
        <f>O103*O7</f>
        <v>7273.245373523715</v>
      </c>
      <c r="P102" s="51">
        <f>P103*P7</f>
        <v>7843.6373799754438</v>
      </c>
      <c r="Q102" s="51">
        <f>Q103*Q7</f>
        <v>8458.7614179090706</v>
      </c>
    </row>
    <row r="103" spans="2:17" x14ac:dyDescent="0.35">
      <c r="B103" t="s">
        <v>117</v>
      </c>
      <c r="C103" s="27">
        <f t="shared" ref="C103:L103" si="60">C102/C7</f>
        <v>1.2059572602000371E-2</v>
      </c>
      <c r="D103" s="27">
        <f t="shared" si="60"/>
        <v>1.2269740559564746E-2</v>
      </c>
      <c r="E103" s="27">
        <f t="shared" si="60"/>
        <v>1.783686924644699E-2</v>
      </c>
      <c r="F103" s="27">
        <f t="shared" si="60"/>
        <v>1.3523599883613546E-2</v>
      </c>
      <c r="G103" s="27">
        <f t="shared" si="60"/>
        <v>1.3246112300959121E-2</v>
      </c>
      <c r="H103" s="27">
        <f t="shared" si="60"/>
        <v>1.516259380411776E-2</v>
      </c>
      <c r="I103" s="27">
        <f t="shared" si="60"/>
        <v>1.7127098553389133E-2</v>
      </c>
      <c r="J103" s="27">
        <f t="shared" si="60"/>
        <v>6.784919299170887E-2</v>
      </c>
      <c r="K103" s="27">
        <f t="shared" si="60"/>
        <v>4.0500175705751436E-2</v>
      </c>
      <c r="L103" s="27">
        <f t="shared" si="60"/>
        <v>3.7434736156001583E-2</v>
      </c>
      <c r="M103" s="53">
        <f>AVERAGE($K103:$L103)</f>
        <v>3.8967455930876513E-2</v>
      </c>
      <c r="N103" s="53">
        <f t="shared" ref="N103:Q103" si="61">AVERAGE($K103:$L103)</f>
        <v>3.8967455930876513E-2</v>
      </c>
      <c r="O103" s="53">
        <f t="shared" si="61"/>
        <v>3.8967455930876513E-2</v>
      </c>
      <c r="P103" s="53">
        <f t="shared" si="61"/>
        <v>3.8967455930876513E-2</v>
      </c>
      <c r="Q103" s="53">
        <f t="shared" si="61"/>
        <v>3.8967455930876513E-2</v>
      </c>
    </row>
    <row r="104" spans="2:17" x14ac:dyDescent="0.35">
      <c r="M104" s="50"/>
      <c r="N104" s="50"/>
      <c r="O104" s="50"/>
      <c r="P104" s="50"/>
      <c r="Q104" s="50"/>
    </row>
    <row r="105" spans="2:17" x14ac:dyDescent="0.35">
      <c r="M105" s="50"/>
      <c r="N105" s="50"/>
      <c r="O105" s="50"/>
      <c r="P105" s="50"/>
      <c r="Q105" s="50"/>
    </row>
    <row r="106" spans="2:17" x14ac:dyDescent="0.35">
      <c r="M106" s="50"/>
      <c r="N106" s="50"/>
      <c r="O106" s="50"/>
      <c r="P106" s="50"/>
      <c r="Q106" s="50"/>
    </row>
    <row r="107" spans="2:17" x14ac:dyDescent="0.35">
      <c r="M107" s="50"/>
      <c r="N107" s="50"/>
      <c r="O107" s="50"/>
      <c r="P107" s="50"/>
      <c r="Q107" s="50"/>
    </row>
    <row r="108" spans="2:17" x14ac:dyDescent="0.35">
      <c r="M108" s="50"/>
      <c r="N108" s="50"/>
      <c r="O108" s="50"/>
      <c r="P108" s="50"/>
      <c r="Q108" s="50"/>
    </row>
    <row r="109" spans="2:17" x14ac:dyDescent="0.35">
      <c r="M109" s="50"/>
      <c r="N109" s="50"/>
      <c r="O109" s="50"/>
      <c r="P109" s="50"/>
      <c r="Q109" s="50"/>
    </row>
    <row r="110" spans="2:17" x14ac:dyDescent="0.35">
      <c r="M110" s="50"/>
      <c r="N110" s="50"/>
      <c r="O110" s="50"/>
      <c r="P110" s="50"/>
      <c r="Q110" s="50"/>
    </row>
    <row r="111" spans="2:17" x14ac:dyDescent="0.35">
      <c r="M111" s="50"/>
      <c r="N111" s="50"/>
      <c r="O111" s="50"/>
      <c r="P111" s="50"/>
      <c r="Q111" s="50"/>
    </row>
    <row r="112" spans="2:17" x14ac:dyDescent="0.35">
      <c r="M112" s="50"/>
      <c r="N112" s="50"/>
      <c r="O112" s="50"/>
      <c r="P112" s="50"/>
      <c r="Q112" s="50"/>
    </row>
    <row r="113" spans="13:17" x14ac:dyDescent="0.35">
      <c r="M113" s="50"/>
      <c r="N113" s="50"/>
      <c r="O113" s="50"/>
      <c r="P113" s="50"/>
      <c r="Q113" s="50"/>
    </row>
    <row r="114" spans="13:17" x14ac:dyDescent="0.35">
      <c r="M114" s="50"/>
      <c r="N114" s="50"/>
      <c r="O114" s="50"/>
      <c r="P114" s="50"/>
      <c r="Q114" s="50"/>
    </row>
    <row r="115" spans="13:17" x14ac:dyDescent="0.35">
      <c r="M115" s="50"/>
      <c r="N115" s="50"/>
      <c r="O115" s="50"/>
      <c r="P115" s="50"/>
      <c r="Q115" s="50"/>
    </row>
  </sheetData>
  <mergeCells count="1">
    <mergeCell ref="B2:Q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A275-A3B1-471C-9CD4-7E3D5823227C}">
  <dimension ref="A2:N87"/>
  <sheetViews>
    <sheetView showGridLines="0" topLeftCell="A36" workbookViewId="0">
      <selection activeCell="C41" sqref="C41"/>
    </sheetView>
  </sheetViews>
  <sheetFormatPr defaultRowHeight="14.5" x14ac:dyDescent="0.35"/>
  <cols>
    <col min="1" max="1" width="4" customWidth="1"/>
    <col min="2" max="2" width="35.26953125" customWidth="1"/>
    <col min="3" max="7" width="11.81640625" bestFit="1" customWidth="1"/>
    <col min="9" max="9" width="9.26953125" bestFit="1" customWidth="1"/>
    <col min="10" max="10" width="10" bestFit="1" customWidth="1"/>
  </cols>
  <sheetData>
    <row r="2" spans="1:14" x14ac:dyDescent="0.35">
      <c r="B2" s="107" t="str">
        <f>'DATA Sheet'!B1&amp;" Forecasted FS"</f>
        <v>INFOSYS LTD Forecasted FS</v>
      </c>
      <c r="C2" s="107"/>
      <c r="D2" s="107"/>
      <c r="E2" s="107"/>
      <c r="F2" s="107"/>
      <c r="G2" s="107"/>
    </row>
    <row r="3" spans="1:14" x14ac:dyDescent="0.35">
      <c r="B3" s="48" t="s">
        <v>168</v>
      </c>
      <c r="C3" s="43">
        <v>2027</v>
      </c>
      <c r="D3" s="43">
        <f t="shared" ref="D3:G3" si="0">C3+1</f>
        <v>2028</v>
      </c>
      <c r="E3" s="43">
        <f t="shared" si="0"/>
        <v>2029</v>
      </c>
      <c r="F3" s="43">
        <f t="shared" si="0"/>
        <v>2030</v>
      </c>
      <c r="G3" s="43">
        <f t="shared" si="0"/>
        <v>2031</v>
      </c>
    </row>
    <row r="5" spans="1:14" x14ac:dyDescent="0.35">
      <c r="A5" s="28" t="s">
        <v>112</v>
      </c>
      <c r="B5" s="49" t="s">
        <v>113</v>
      </c>
      <c r="C5" s="49"/>
      <c r="D5" s="49"/>
      <c r="E5" s="49"/>
      <c r="F5" s="49"/>
      <c r="G5" s="49"/>
      <c r="I5" s="23" t="s">
        <v>265</v>
      </c>
      <c r="J5" s="80" t="str">
        <f>DASHBOARD!D2</f>
        <v>Base</v>
      </c>
      <c r="L5" s="81" t="s">
        <v>254</v>
      </c>
      <c r="M5" s="81" t="s">
        <v>255</v>
      </c>
      <c r="N5" s="81" t="s">
        <v>256</v>
      </c>
    </row>
    <row r="6" spans="1:14" x14ac:dyDescent="0.35">
      <c r="I6" s="28"/>
    </row>
    <row r="7" spans="1:14" x14ac:dyDescent="0.35">
      <c r="B7" t="s">
        <v>12</v>
      </c>
      <c r="C7" s="26">
        <f>'Forecast Drivers'!M7</f>
        <v>160489.87918099691</v>
      </c>
      <c r="D7" s="26">
        <f>'Forecast Drivers'!N7</f>
        <v>173076.0273858243</v>
      </c>
      <c r="E7" s="26">
        <f>'Forecast Drivers'!O7</f>
        <v>186649.22304462371</v>
      </c>
      <c r="F7" s="26">
        <f>'Forecast Drivers'!P7</f>
        <v>201286.8736899092</v>
      </c>
      <c r="G7" s="26">
        <f>'Forecast Drivers'!Q7</f>
        <v>217072.45740943099</v>
      </c>
    </row>
    <row r="9" spans="1:14" x14ac:dyDescent="0.35">
      <c r="B9" t="s">
        <v>114</v>
      </c>
      <c r="C9" s="26">
        <f>'Forecast Drivers'!M32</f>
        <v>113755.42116746331</v>
      </c>
      <c r="D9" s="26">
        <f>'Forecast Drivers'!N32</f>
        <v>121772.55337406145</v>
      </c>
      <c r="E9" s="26">
        <f>'Forecast Drivers'!O32</f>
        <v>130378.11764960212</v>
      </c>
      <c r="F9" s="26">
        <f>'Forecast Drivers'!P32</f>
        <v>139617.1487758866</v>
      </c>
      <c r="G9" s="26">
        <f>'Forecast Drivers'!Q32</f>
        <v>149538.26794542617</v>
      </c>
    </row>
    <row r="10" spans="1:14" ht="15" thickBot="1" x14ac:dyDescent="0.4"/>
    <row r="11" spans="1:14" ht="15" thickBot="1" x14ac:dyDescent="0.4">
      <c r="B11" s="32" t="s">
        <v>196</v>
      </c>
      <c r="C11" s="33">
        <f>C7-C9</f>
        <v>46734.4580135336</v>
      </c>
      <c r="D11" s="33">
        <f t="shared" ref="D11:G11" si="1">D7-D9</f>
        <v>51303.474011762853</v>
      </c>
      <c r="E11" s="33">
        <f t="shared" si="1"/>
        <v>56271.105395021586</v>
      </c>
      <c r="F11" s="33">
        <f t="shared" si="1"/>
        <v>61669.724914022605</v>
      </c>
      <c r="G11" s="33">
        <f t="shared" si="1"/>
        <v>67534.189464004827</v>
      </c>
    </row>
    <row r="12" spans="1:14" x14ac:dyDescent="0.35">
      <c r="B12" s="30" t="s">
        <v>119</v>
      </c>
      <c r="C12" s="31">
        <f>C11/C7</f>
        <v>0.29119878619154244</v>
      </c>
      <c r="D12" s="31">
        <f t="shared" ref="D12:G12" si="2">D11/D7</f>
        <v>0.29642160608063989</v>
      </c>
      <c r="E12" s="31">
        <f t="shared" si="2"/>
        <v>0.30148052307492545</v>
      </c>
      <c r="F12" s="31">
        <f t="shared" si="2"/>
        <v>0.30637728026432254</v>
      </c>
      <c r="G12" s="31">
        <f t="shared" si="2"/>
        <v>0.31111358055262295</v>
      </c>
    </row>
    <row r="15" spans="1:14" x14ac:dyDescent="0.35">
      <c r="B15" t="s">
        <v>120</v>
      </c>
      <c r="C15" s="26">
        <f>'Forecast Drivers'!M47</f>
        <v>6694.3953999551995</v>
      </c>
      <c r="D15" s="26">
        <f>'Forecast Drivers'!N47</f>
        <v>7219.3920731131875</v>
      </c>
      <c r="E15" s="26">
        <f>'Forecast Drivers'!O47</f>
        <v>7785.5607252715199</v>
      </c>
      <c r="F15" s="26">
        <f>'Forecast Drivers'!P47</f>
        <v>8396.1301994714431</v>
      </c>
      <c r="G15" s="26">
        <f>'Forecast Drivers'!Q47</f>
        <v>9054.5825553262093</v>
      </c>
    </row>
    <row r="16" spans="1:14" ht="15" thickBot="1" x14ac:dyDescent="0.4"/>
    <row r="17" spans="2:7" ht="15" thickBot="1" x14ac:dyDescent="0.4">
      <c r="B17" s="32" t="s">
        <v>121</v>
      </c>
      <c r="C17" s="33">
        <f>C11-C15</f>
        <v>40040.062613578397</v>
      </c>
      <c r="D17" s="33">
        <f t="shared" ref="D17:G17" si="3">D11-D15</f>
        <v>44084.081938649666</v>
      </c>
      <c r="E17" s="33">
        <f t="shared" si="3"/>
        <v>48485.544669750067</v>
      </c>
      <c r="F17" s="33">
        <f t="shared" si="3"/>
        <v>53273.59471455116</v>
      </c>
      <c r="G17" s="33">
        <f t="shared" si="3"/>
        <v>58479.606908678616</v>
      </c>
    </row>
    <row r="18" spans="2:7" x14ac:dyDescent="0.35">
      <c r="B18" s="30" t="s">
        <v>117</v>
      </c>
      <c r="C18" s="31">
        <f>C17/C7</f>
        <v>0.24948652723716058</v>
      </c>
      <c r="D18" s="31">
        <f t="shared" ref="D18:G18" si="4">D17/D7</f>
        <v>0.25470934712625803</v>
      </c>
      <c r="E18" s="31">
        <f t="shared" si="4"/>
        <v>0.2597682641205436</v>
      </c>
      <c r="F18" s="31">
        <f t="shared" si="4"/>
        <v>0.26466502130994068</v>
      </c>
      <c r="G18" s="31">
        <f t="shared" si="4"/>
        <v>0.26940132159824109</v>
      </c>
    </row>
    <row r="20" spans="2:7" x14ac:dyDescent="0.35">
      <c r="B20" t="s">
        <v>21</v>
      </c>
      <c r="C20" s="26">
        <f>'Forecast Drivers'!M56</f>
        <v>3107.8389222431301</v>
      </c>
      <c r="D20" s="26">
        <f>'Forecast Drivers'!N56</f>
        <v>3351.565950213344</v>
      </c>
      <c r="E20" s="26">
        <f>'Forecast Drivers'!O56</f>
        <v>3614.4068594526416</v>
      </c>
      <c r="F20" s="26">
        <f>'Forecast Drivers'!P56</f>
        <v>3897.8606238754514</v>
      </c>
      <c r="G20" s="26">
        <f>'Forecast Drivers'!Q56</f>
        <v>4203.5437718983221</v>
      </c>
    </row>
    <row r="23" spans="2:7" x14ac:dyDescent="0.35">
      <c r="B23" t="s">
        <v>22</v>
      </c>
      <c r="C23" s="26">
        <f>'Forecast Drivers'!M65</f>
        <v>234.91537386215708</v>
      </c>
      <c r="D23" s="26">
        <f>'Forecast Drivers'!N65</f>
        <v>234.91537386215708</v>
      </c>
      <c r="E23" s="26">
        <f>'Forecast Drivers'!O65</f>
        <v>234.91537386215708</v>
      </c>
      <c r="F23" s="26">
        <f>'Forecast Drivers'!P65</f>
        <v>234.91537386215708</v>
      </c>
      <c r="G23" s="26">
        <f>'Forecast Drivers'!Q65</f>
        <v>234.91537386215708</v>
      </c>
    </row>
    <row r="26" spans="2:7" x14ac:dyDescent="0.35">
      <c r="B26" t="s">
        <v>20</v>
      </c>
      <c r="C26" s="26">
        <f>'Forecast Drivers'!M71</f>
        <v>6871.7211408614785</v>
      </c>
      <c r="D26" s="26">
        <f>'Forecast Drivers'!N71</f>
        <v>7410.6242862965137</v>
      </c>
      <c r="E26" s="26">
        <f>'Forecast Drivers'!O71</f>
        <v>7991.7900023752954</v>
      </c>
      <c r="F26" s="26">
        <f>'Forecast Drivers'!P71</f>
        <v>8618.5326599500731</v>
      </c>
      <c r="G26" s="26">
        <f>'Forecast Drivers'!Q71</f>
        <v>9294.4265538194923</v>
      </c>
    </row>
    <row r="27" spans="2:7" ht="15" thickBot="1" x14ac:dyDescent="0.4"/>
    <row r="28" spans="2:7" ht="15" thickBot="1" x14ac:dyDescent="0.4">
      <c r="B28" s="32" t="s">
        <v>122</v>
      </c>
      <c r="C28" s="33">
        <f>C17-C20-C23+C26</f>
        <v>43569.029458334597</v>
      </c>
      <c r="D28" s="33">
        <f t="shared" ref="D28:G28" si="5">D17-D20-D23+D26</f>
        <v>47908.224900870686</v>
      </c>
      <c r="E28" s="33">
        <f t="shared" si="5"/>
        <v>52628.012438810569</v>
      </c>
      <c r="F28" s="33">
        <f t="shared" si="5"/>
        <v>57759.351376763632</v>
      </c>
      <c r="G28" s="33">
        <f t="shared" si="5"/>
        <v>63335.574316737635</v>
      </c>
    </row>
    <row r="30" spans="2:7" x14ac:dyDescent="0.35">
      <c r="B30" t="s">
        <v>24</v>
      </c>
      <c r="C30" s="26">
        <f>C28*'Forecast Drivers'!M89</f>
        <v>10966.324714662816</v>
      </c>
      <c r="D30" s="26">
        <f>D28*'Forecast Drivers'!N89</f>
        <v>12058.50020754915</v>
      </c>
      <c r="E30" s="26">
        <f>E28*'Forecast Drivers'!O89</f>
        <v>13246.470730848619</v>
      </c>
      <c r="F30" s="26">
        <f>F28*'Forecast Drivers'!P89</f>
        <v>14538.028741531405</v>
      </c>
      <c r="G30" s="26">
        <f>G28*'Forecast Drivers'!Q89</f>
        <v>15941.564055522862</v>
      </c>
    </row>
    <row r="31" spans="2:7" ht="15" thickBot="1" x14ac:dyDescent="0.4"/>
    <row r="32" spans="2:7" ht="15" thickBot="1" x14ac:dyDescent="0.4">
      <c r="B32" s="32" t="s">
        <v>25</v>
      </c>
      <c r="C32" s="33">
        <f>C28-C30</f>
        <v>32602.70474367178</v>
      </c>
      <c r="D32" s="33">
        <f t="shared" ref="D32:G32" si="6">D28-D30</f>
        <v>35849.724693321536</v>
      </c>
      <c r="E32" s="33">
        <f t="shared" si="6"/>
        <v>39381.541707961951</v>
      </c>
      <c r="F32" s="33">
        <f t="shared" si="6"/>
        <v>43221.322635232224</v>
      </c>
      <c r="G32" s="33">
        <f t="shared" si="6"/>
        <v>47394.010261214775</v>
      </c>
    </row>
    <row r="33" spans="1:7" x14ac:dyDescent="0.35">
      <c r="B33" s="30" t="s">
        <v>139</v>
      </c>
      <c r="C33" s="31">
        <f>C32/C7</f>
        <v>0.20314492670845105</v>
      </c>
      <c r="D33" s="31">
        <f t="shared" ref="D33:G33" si="7">D32/D7</f>
        <v>0.20713281460640798</v>
      </c>
      <c r="E33" s="31">
        <f t="shared" si="7"/>
        <v>0.21099226166372359</v>
      </c>
      <c r="F33" s="31">
        <f t="shared" si="7"/>
        <v>0.21472499345295842</v>
      </c>
      <c r="G33" s="31">
        <f t="shared" si="7"/>
        <v>0.21833267484424618</v>
      </c>
    </row>
    <row r="37" spans="1:7" x14ac:dyDescent="0.35">
      <c r="A37" t="s">
        <v>112</v>
      </c>
      <c r="B37" s="49" t="s">
        <v>124</v>
      </c>
      <c r="C37" s="49"/>
      <c r="D37" s="49"/>
      <c r="E37" s="49"/>
      <c r="F37" s="49"/>
      <c r="G37" s="49"/>
    </row>
    <row r="39" spans="1:7" x14ac:dyDescent="0.35">
      <c r="B39" s="6" t="s">
        <v>31</v>
      </c>
      <c r="C39" s="26">
        <f>'Historical FS'!L45</f>
        <v>2027</v>
      </c>
      <c r="D39" s="26">
        <f>C39</f>
        <v>2027</v>
      </c>
      <c r="E39" s="26">
        <f t="shared" ref="E39:G39" si="8">D39</f>
        <v>2027</v>
      </c>
      <c r="F39" s="26">
        <f t="shared" si="8"/>
        <v>2027</v>
      </c>
      <c r="G39" s="26">
        <f t="shared" si="8"/>
        <v>2027</v>
      </c>
    </row>
    <row r="40" spans="1:7" x14ac:dyDescent="0.35">
      <c r="B40" s="6" t="s">
        <v>32</v>
      </c>
      <c r="C40" s="26">
        <f>'Historical FS'!L46+C32*'Forecast Drivers'!M87</f>
        <v>89003.816897158569</v>
      </c>
      <c r="D40" s="26">
        <f>C40+D32*'Forecast Drivers'!N87</f>
        <v>100172.18750893387</v>
      </c>
      <c r="E40" s="26">
        <f>D40+E32*'Forecast Drivers'!O87</f>
        <v>112440.83550609802</v>
      </c>
      <c r="F40" s="26">
        <f>E40+F32*'Forecast Drivers'!P87</f>
        <v>125905.70179588883</v>
      </c>
      <c r="G40" s="26">
        <f>F40+G32*'Forecast Drivers'!Q87</f>
        <v>140670.49778535802</v>
      </c>
    </row>
    <row r="41" spans="1:7" x14ac:dyDescent="0.35">
      <c r="B41" s="6" t="s">
        <v>33</v>
      </c>
      <c r="C41" s="26">
        <f>'Forecast Drivers'!M62</f>
        <v>3658</v>
      </c>
      <c r="D41" s="26">
        <f>'Forecast Drivers'!N62</f>
        <v>3658</v>
      </c>
      <c r="E41" s="26">
        <f>'Forecast Drivers'!O62</f>
        <v>3658</v>
      </c>
      <c r="F41" s="26">
        <f>'Forecast Drivers'!P62</f>
        <v>3658</v>
      </c>
      <c r="G41" s="26">
        <f>'Forecast Drivers'!Q62</f>
        <v>3658</v>
      </c>
    </row>
    <row r="42" spans="1:7" x14ac:dyDescent="0.35">
      <c r="B42" s="6" t="s">
        <v>34</v>
      </c>
      <c r="C42" s="26">
        <f>'Forecast Drivers'!M78</f>
        <v>40518.195693358284</v>
      </c>
      <c r="D42" s="26">
        <f>'Forecast Drivers'!N78</f>
        <v>43741.63375760796</v>
      </c>
      <c r="E42" s="26">
        <f>'Forecast Drivers'!O78</f>
        <v>47222.063054700142</v>
      </c>
      <c r="F42" s="26">
        <f>'Forecast Drivers'!P78</f>
        <v>50980.022012195273</v>
      </c>
      <c r="G42" s="26">
        <f>'Forecast Drivers'!Q78</f>
        <v>55037.694929193291</v>
      </c>
    </row>
    <row r="43" spans="1:7" ht="15" thickBot="1" x14ac:dyDescent="0.4">
      <c r="B43" s="6"/>
    </row>
    <row r="44" spans="1:7" ht="15" thickBot="1" x14ac:dyDescent="0.4">
      <c r="B44" s="32" t="s">
        <v>125</v>
      </c>
      <c r="C44" s="33">
        <f>SUM(C39:C42)</f>
        <v>135207.01259051685</v>
      </c>
      <c r="D44" s="33">
        <f t="shared" ref="D44:G44" si="9">SUM(D39:D42)</f>
        <v>149598.82126654184</v>
      </c>
      <c r="E44" s="33">
        <f t="shared" si="9"/>
        <v>165347.89856079817</v>
      </c>
      <c r="F44" s="33">
        <f t="shared" si="9"/>
        <v>182570.72380808409</v>
      </c>
      <c r="G44" s="33">
        <f t="shared" si="9"/>
        <v>201393.19271455132</v>
      </c>
    </row>
    <row r="47" spans="1:7" x14ac:dyDescent="0.35">
      <c r="B47" s="2" t="s">
        <v>126</v>
      </c>
      <c r="C47" s="26">
        <f>'Forecast Drivers'!M53</f>
        <v>16059.723305390271</v>
      </c>
      <c r="D47" s="26">
        <f>'Forecast Drivers'!N53</f>
        <v>17319.180030522479</v>
      </c>
      <c r="E47" s="26">
        <f>'Forecast Drivers'!O53</f>
        <v>18677.407526004659</v>
      </c>
      <c r="F47" s="26">
        <f>'Forecast Drivers'!P53</f>
        <v>20142.151722983825</v>
      </c>
      <c r="G47" s="26">
        <f>'Forecast Drivers'!Q53</f>
        <v>21721.766014198336</v>
      </c>
    </row>
    <row r="48" spans="1:7" x14ac:dyDescent="0.35">
      <c r="B48" s="6" t="s">
        <v>37</v>
      </c>
      <c r="C48" s="26">
        <f>'Historical FS'!L54</f>
        <v>512</v>
      </c>
      <c r="D48" s="26">
        <f>C48</f>
        <v>512</v>
      </c>
      <c r="E48" s="26">
        <f t="shared" ref="E48:G48" si="10">D48</f>
        <v>512</v>
      </c>
      <c r="F48" s="26">
        <f t="shared" si="10"/>
        <v>512</v>
      </c>
      <c r="G48" s="26">
        <f t="shared" si="10"/>
        <v>512</v>
      </c>
    </row>
    <row r="49" spans="1:7" x14ac:dyDescent="0.35">
      <c r="B49" s="6" t="s">
        <v>38</v>
      </c>
      <c r="C49" s="26">
        <f>'Historical FS'!L55</f>
        <v>38075</v>
      </c>
      <c r="D49" s="26">
        <f>C49</f>
        <v>38075</v>
      </c>
      <c r="E49" s="26">
        <f t="shared" ref="E49:G49" si="11">D49</f>
        <v>38075</v>
      </c>
      <c r="F49" s="26">
        <f t="shared" si="11"/>
        <v>38075</v>
      </c>
      <c r="G49" s="26">
        <f t="shared" si="11"/>
        <v>38075</v>
      </c>
    </row>
    <row r="50" spans="1:7" ht="15" thickBot="1" x14ac:dyDescent="0.4"/>
    <row r="51" spans="1:7" ht="15" thickBot="1" x14ac:dyDescent="0.4">
      <c r="B51" s="32" t="s">
        <v>127</v>
      </c>
      <c r="C51" s="33">
        <f>SUM(C47:C49)</f>
        <v>54646.723305390275</v>
      </c>
      <c r="D51" s="33">
        <f t="shared" ref="D51:G51" si="12">SUM(D47:D49)</f>
        <v>55906.180030522475</v>
      </c>
      <c r="E51" s="33">
        <f t="shared" si="12"/>
        <v>57264.407526004659</v>
      </c>
      <c r="F51" s="33">
        <f t="shared" si="12"/>
        <v>58729.151722983821</v>
      </c>
      <c r="G51" s="33">
        <f t="shared" si="12"/>
        <v>60308.766014198336</v>
      </c>
    </row>
    <row r="53" spans="1:7" x14ac:dyDescent="0.35">
      <c r="B53" t="s">
        <v>72</v>
      </c>
      <c r="C53" s="26">
        <f>'Forecast Drivers'!M95</f>
        <v>31686.117242234701</v>
      </c>
      <c r="D53" s="26">
        <f>'Forecast Drivers'!N95</f>
        <v>34171.047567321046</v>
      </c>
      <c r="E53" s="26">
        <f>'Forecast Drivers'!O95</f>
        <v>36850.854363807397</v>
      </c>
      <c r="F53" s="26">
        <f>'Forecast Drivers'!P95</f>
        <v>39740.820490420985</v>
      </c>
      <c r="G53" s="26">
        <f>'Forecast Drivers'!Q95</f>
        <v>42857.427338319365</v>
      </c>
    </row>
    <row r="54" spans="1:7" x14ac:dyDescent="0.35">
      <c r="B54" t="s">
        <v>73</v>
      </c>
      <c r="C54" s="34">
        <f>C87</f>
        <v>12517.331279595361</v>
      </c>
      <c r="D54" s="34">
        <f t="shared" ref="D54:G54" si="13">D87</f>
        <v>20313.528962550539</v>
      </c>
      <c r="E54" s="34">
        <f t="shared" si="13"/>
        <v>28949.745591148421</v>
      </c>
      <c r="F54" s="34">
        <f t="shared" si="13"/>
        <v>38501.896066645902</v>
      </c>
      <c r="G54" s="34">
        <f t="shared" si="13"/>
        <v>49052.130464340364</v>
      </c>
    </row>
    <row r="55" spans="1:7" x14ac:dyDescent="0.35">
      <c r="B55" t="s">
        <v>128</v>
      </c>
      <c r="C55" s="26">
        <f>'Forecast Drivers'!M102</f>
        <v>6253.8822943371933</v>
      </c>
      <c r="D55" s="26">
        <f>'Forecast Drivers'!N102</f>
        <v>6744.3324698482847</v>
      </c>
      <c r="E55" s="26">
        <f>'Forecast Drivers'!O102</f>
        <v>7273.245373523715</v>
      </c>
      <c r="F55" s="26">
        <f>'Forecast Drivers'!P102</f>
        <v>7843.6373799754438</v>
      </c>
      <c r="G55" s="26">
        <f>'Forecast Drivers'!Q102</f>
        <v>8458.7614179090706</v>
      </c>
    </row>
    <row r="56" spans="1:7" x14ac:dyDescent="0.35">
      <c r="B56" t="s">
        <v>75</v>
      </c>
      <c r="C56" s="26">
        <f>'Forecast Drivers'!M75</f>
        <v>30102.958468959332</v>
      </c>
      <c r="D56" s="26">
        <f>'Forecast Drivers'!N75</f>
        <v>32463.732236299471</v>
      </c>
      <c r="E56" s="26">
        <f>'Forecast Drivers'!O75</f>
        <v>35009.645706313961</v>
      </c>
      <c r="F56" s="26">
        <f>'Forecast Drivers'!P75</f>
        <v>37755.218148057931</v>
      </c>
      <c r="G56" s="26">
        <f>'Forecast Drivers'!Q75</f>
        <v>40716.107479784157</v>
      </c>
    </row>
    <row r="57" spans="1:7" ht="15" thickBot="1" x14ac:dyDescent="0.4">
      <c r="C57" s="34"/>
      <c r="D57" s="34"/>
      <c r="E57" s="34"/>
      <c r="F57" s="34"/>
      <c r="G57" s="34"/>
    </row>
    <row r="58" spans="1:7" ht="15" thickBot="1" x14ac:dyDescent="0.4">
      <c r="B58" s="32" t="s">
        <v>129</v>
      </c>
      <c r="C58" s="33">
        <f>SUM(C53:C56)</f>
        <v>80560.289285126579</v>
      </c>
      <c r="D58" s="33">
        <f t="shared" ref="D58:G58" si="14">SUM(D53:D56)</f>
        <v>93692.641236019335</v>
      </c>
      <c r="E58" s="33">
        <f t="shared" si="14"/>
        <v>108083.49103479349</v>
      </c>
      <c r="F58" s="33">
        <f t="shared" si="14"/>
        <v>123841.57208510026</v>
      </c>
      <c r="G58" s="33">
        <f t="shared" si="14"/>
        <v>141084.42670035295</v>
      </c>
    </row>
    <row r="59" spans="1:7" ht="15" thickBot="1" x14ac:dyDescent="0.4"/>
    <row r="60" spans="1:7" ht="15" thickBot="1" x14ac:dyDescent="0.4">
      <c r="B60" s="32" t="s">
        <v>130</v>
      </c>
      <c r="C60" s="33">
        <f>C58+C51</f>
        <v>135207.01259051685</v>
      </c>
      <c r="D60" s="33">
        <f t="shared" ref="D60:G60" si="15">D58+D51</f>
        <v>149598.82126654181</v>
      </c>
      <c r="E60" s="33">
        <f t="shared" si="15"/>
        <v>165347.89856079814</v>
      </c>
      <c r="F60" s="33">
        <f t="shared" si="15"/>
        <v>182570.72380808409</v>
      </c>
      <c r="G60" s="33">
        <f t="shared" si="15"/>
        <v>201393.19271455129</v>
      </c>
    </row>
    <row r="61" spans="1:7" x14ac:dyDescent="0.35">
      <c r="B61" s="22"/>
      <c r="C61" s="37"/>
      <c r="D61" s="37"/>
      <c r="E61" s="37"/>
      <c r="F61" s="37"/>
      <c r="G61" s="37"/>
    </row>
    <row r="62" spans="1:7" x14ac:dyDescent="0.35">
      <c r="B62" s="28" t="s">
        <v>131</v>
      </c>
      <c r="C62" s="28" t="b">
        <f>C60=C44</f>
        <v>1</v>
      </c>
      <c r="D62" s="28" t="b">
        <f t="shared" ref="D62:G62" si="16">D60=D44</f>
        <v>1</v>
      </c>
      <c r="E62" s="28" t="b">
        <f t="shared" si="16"/>
        <v>1</v>
      </c>
      <c r="F62" s="28" t="b">
        <f t="shared" si="16"/>
        <v>1</v>
      </c>
      <c r="G62" s="28" t="b">
        <f t="shared" si="16"/>
        <v>1</v>
      </c>
    </row>
    <row r="63" spans="1:7" x14ac:dyDescent="0.35">
      <c r="C63" s="26"/>
    </row>
    <row r="64" spans="1:7" x14ac:dyDescent="0.35">
      <c r="A64" t="s">
        <v>112</v>
      </c>
      <c r="B64" s="49" t="s">
        <v>132</v>
      </c>
      <c r="C64" s="49"/>
      <c r="D64" s="49"/>
      <c r="E64" s="49"/>
      <c r="F64" s="49"/>
      <c r="G64" s="49"/>
    </row>
    <row r="66" spans="2:9" x14ac:dyDescent="0.35">
      <c r="B66" s="23" t="s">
        <v>202</v>
      </c>
    </row>
    <row r="68" spans="2:9" x14ac:dyDescent="0.35">
      <c r="B68" t="s">
        <v>25</v>
      </c>
      <c r="C68" s="26">
        <f>C32</f>
        <v>32602.70474367178</v>
      </c>
      <c r="D68" s="26">
        <f t="shared" ref="D68:G68" si="17">D32</f>
        <v>35849.724693321536</v>
      </c>
      <c r="E68" s="26">
        <f t="shared" si="17"/>
        <v>39381.541707961951</v>
      </c>
      <c r="F68" s="26">
        <f t="shared" si="17"/>
        <v>43221.322635232224</v>
      </c>
      <c r="G68" s="26">
        <f t="shared" si="17"/>
        <v>47394.010261214775</v>
      </c>
    </row>
    <row r="69" spans="2:9" x14ac:dyDescent="0.35">
      <c r="B69" t="s">
        <v>21</v>
      </c>
      <c r="C69" s="26">
        <f>C20</f>
        <v>3107.8389222431301</v>
      </c>
      <c r="D69" s="26">
        <f t="shared" ref="D69:G69" si="18">D20</f>
        <v>3351.565950213344</v>
      </c>
      <c r="E69" s="26">
        <f t="shared" si="18"/>
        <v>3614.4068594526416</v>
      </c>
      <c r="F69" s="26">
        <f t="shared" si="18"/>
        <v>3897.8606238754514</v>
      </c>
      <c r="G69" s="26">
        <f t="shared" si="18"/>
        <v>4203.5437718983221</v>
      </c>
      <c r="I69" s="26"/>
    </row>
    <row r="70" spans="2:9" x14ac:dyDescent="0.35">
      <c r="B70" t="s">
        <v>203</v>
      </c>
      <c r="C70" s="34">
        <f>-((C56+C55+C53-C42)-('Historical FS'!L62+'Historical FS'!L61+'Historical FS'!L59-'Historical FS'!L48))</f>
        <v>-4051.7623121729412</v>
      </c>
      <c r="D70" s="34">
        <f>-((D56+D55+D53-D42)-(C56+C55+C53-C42))</f>
        <v>-2112.716203687909</v>
      </c>
      <c r="E70" s="34">
        <f t="shared" ref="E70:G70" si="19">-((E56+E55+E53-E42)-(D56+D55+D53-D42))</f>
        <v>-2274.2038730840868</v>
      </c>
      <c r="F70" s="34">
        <f t="shared" si="19"/>
        <v>-2447.9716173141569</v>
      </c>
      <c r="G70" s="34">
        <f t="shared" si="19"/>
        <v>-2634.9473005602122</v>
      </c>
    </row>
    <row r="71" spans="2:9" ht="15" thickBot="1" x14ac:dyDescent="0.4">
      <c r="B71" t="s">
        <v>204</v>
      </c>
    </row>
    <row r="72" spans="2:9" ht="15" thickBot="1" x14ac:dyDescent="0.4">
      <c r="B72" s="32" t="s">
        <v>205</v>
      </c>
      <c r="C72" s="33">
        <f>SUM(C68:C70)</f>
        <v>31658.781353741972</v>
      </c>
      <c r="D72" s="33">
        <f t="shared" ref="D72:G72" si="20">SUM(D68:D70)</f>
        <v>37088.574439846969</v>
      </c>
      <c r="E72" s="33">
        <f t="shared" si="20"/>
        <v>40721.744694330504</v>
      </c>
      <c r="F72" s="33">
        <f t="shared" si="20"/>
        <v>44671.211641793518</v>
      </c>
      <c r="G72" s="33">
        <f t="shared" si="20"/>
        <v>48962.606732552886</v>
      </c>
    </row>
    <row r="74" spans="2:9" x14ac:dyDescent="0.35">
      <c r="B74" s="23" t="s">
        <v>206</v>
      </c>
    </row>
    <row r="75" spans="2:9" x14ac:dyDescent="0.35">
      <c r="B75" t="s">
        <v>207</v>
      </c>
      <c r="C75" s="34">
        <f>-(C47-'Historical FS'!L53+'Forecasted FS'!C20)</f>
        <v>-5331.5622276334016</v>
      </c>
      <c r="D75" s="34">
        <f>-(D47-C47+D20)</f>
        <v>-4611.0226753455518</v>
      </c>
      <c r="E75" s="34">
        <f t="shared" ref="E75:G75" si="21">-(E47-D47+E20)</f>
        <v>-4972.6343549348221</v>
      </c>
      <c r="F75" s="34">
        <f t="shared" si="21"/>
        <v>-5362.6048208546163</v>
      </c>
      <c r="G75" s="34">
        <f t="shared" si="21"/>
        <v>-5783.1580631128336</v>
      </c>
    </row>
    <row r="76" spans="2:9" ht="15" thickBot="1" x14ac:dyDescent="0.4"/>
    <row r="77" spans="2:9" ht="15" thickBot="1" x14ac:dyDescent="0.4">
      <c r="B77" s="33" t="s">
        <v>208</v>
      </c>
      <c r="C77" s="35">
        <f>C75</f>
        <v>-5331.5622276334016</v>
      </c>
      <c r="D77" s="35">
        <f t="shared" ref="D77:G77" si="22">D75</f>
        <v>-4611.0226753455518</v>
      </c>
      <c r="E77" s="35">
        <f t="shared" si="22"/>
        <v>-4972.6343549348221</v>
      </c>
      <c r="F77" s="35">
        <f t="shared" si="22"/>
        <v>-5362.6048208546163</v>
      </c>
      <c r="G77" s="35">
        <f t="shared" si="22"/>
        <v>-5783.1580631128336</v>
      </c>
    </row>
    <row r="79" spans="2:9" x14ac:dyDescent="0.35">
      <c r="B79" s="23" t="s">
        <v>209</v>
      </c>
    </row>
    <row r="80" spans="2:9" x14ac:dyDescent="0.35">
      <c r="B80" t="s">
        <v>210</v>
      </c>
      <c r="C80" s="34">
        <f>C41-'Historical FS'!L47</f>
        <v>-91</v>
      </c>
      <c r="D80" s="26">
        <f>D41-C41</f>
        <v>0</v>
      </c>
      <c r="E80" s="26">
        <f t="shared" ref="E80:G80" si="23">E41-D41</f>
        <v>0</v>
      </c>
      <c r="F80" s="26">
        <f t="shared" si="23"/>
        <v>0</v>
      </c>
      <c r="G80" s="26">
        <f t="shared" si="23"/>
        <v>0</v>
      </c>
    </row>
    <row r="81" spans="2:7" x14ac:dyDescent="0.35">
      <c r="B81" t="s">
        <v>95</v>
      </c>
      <c r="C81" s="34">
        <f>-'Forecast Drivers'!M86*'Forecasted FS'!C32</f>
        <v>-22445.887846513207</v>
      </c>
      <c r="D81" s="34">
        <f>-'Forecast Drivers'!N86*'Forecasted FS'!D32</f>
        <v>-24681.354081546237</v>
      </c>
      <c r="E81" s="34">
        <f>-'Forecast Drivers'!O86*'Forecasted FS'!E32</f>
        <v>-27112.893710797798</v>
      </c>
      <c r="F81" s="34">
        <f>-'Forecast Drivers'!P86*'Forecasted FS'!F32</f>
        <v>-29756.45634544142</v>
      </c>
      <c r="G81" s="34">
        <f>-'Forecast Drivers'!Q86*'Forecasted FS'!G32</f>
        <v>-32629.214271745594</v>
      </c>
    </row>
    <row r="82" spans="2:7" ht="15" thickBot="1" x14ac:dyDescent="0.4"/>
    <row r="83" spans="2:7" ht="15" thickBot="1" x14ac:dyDescent="0.4">
      <c r="B83" s="32" t="s">
        <v>211</v>
      </c>
      <c r="C83" s="35">
        <f>SUM(C80:C81)</f>
        <v>-22536.887846513207</v>
      </c>
      <c r="D83" s="35">
        <f t="shared" ref="D83:G83" si="24">SUM(D80:D81)</f>
        <v>-24681.354081546237</v>
      </c>
      <c r="E83" s="35">
        <f t="shared" si="24"/>
        <v>-27112.893710797798</v>
      </c>
      <c r="F83" s="35">
        <f t="shared" si="24"/>
        <v>-29756.45634544142</v>
      </c>
      <c r="G83" s="35">
        <f t="shared" si="24"/>
        <v>-32629.214271745594</v>
      </c>
    </row>
    <row r="85" spans="2:7" x14ac:dyDescent="0.35">
      <c r="B85" t="s">
        <v>212</v>
      </c>
      <c r="C85" s="34">
        <f>C83+C77+C72</f>
        <v>3790.3312795953607</v>
      </c>
      <c r="D85" s="34">
        <f t="shared" ref="D85:G85" si="25">D83+D77+D72</f>
        <v>7796.1976829551786</v>
      </c>
      <c r="E85" s="34">
        <f t="shared" si="25"/>
        <v>8636.2166285978819</v>
      </c>
      <c r="F85" s="34">
        <f t="shared" si="25"/>
        <v>9552.1504754974812</v>
      </c>
      <c r="G85" s="34">
        <f t="shared" si="25"/>
        <v>10550.234397694461</v>
      </c>
    </row>
    <row r="86" spans="2:7" ht="15" thickBot="1" x14ac:dyDescent="0.4">
      <c r="B86" t="s">
        <v>213</v>
      </c>
      <c r="C86" s="26">
        <f>'Historical FS'!L60</f>
        <v>8727</v>
      </c>
      <c r="D86" s="34">
        <f>C87</f>
        <v>12517.331279595361</v>
      </c>
      <c r="E86" s="34">
        <f t="shared" ref="E86:G86" si="26">D87</f>
        <v>20313.528962550539</v>
      </c>
      <c r="F86" s="34">
        <f t="shared" si="26"/>
        <v>28949.745591148421</v>
      </c>
      <c r="G86" s="34">
        <f t="shared" si="26"/>
        <v>38501.896066645902</v>
      </c>
    </row>
    <row r="87" spans="2:7" ht="15" thickBot="1" x14ac:dyDescent="0.4">
      <c r="B87" s="32" t="s">
        <v>214</v>
      </c>
      <c r="C87" s="35">
        <f>SUM(C85:C86)</f>
        <v>12517.331279595361</v>
      </c>
      <c r="D87" s="35">
        <f t="shared" ref="D87:G87" si="27">SUM(D85:D86)</f>
        <v>20313.528962550539</v>
      </c>
      <c r="E87" s="35">
        <f t="shared" si="27"/>
        <v>28949.745591148421</v>
      </c>
      <c r="F87" s="35">
        <f t="shared" si="27"/>
        <v>38501.896066645902</v>
      </c>
      <c r="G87" s="35">
        <f t="shared" si="27"/>
        <v>49052.130464340364</v>
      </c>
    </row>
  </sheetData>
  <mergeCells count="1">
    <mergeCell ref="B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73ED-8453-44E3-8977-8B0D1DD8A2FE}">
  <sheetPr>
    <tabColor theme="9"/>
  </sheetPr>
  <dimension ref="A1"/>
  <sheetViews>
    <sheetView workbookViewId="0">
      <selection activeCell="B1" sqref="B1"/>
    </sheetView>
  </sheetViews>
  <sheetFormatPr defaultRowHeight="14.5" x14ac:dyDescent="0.35"/>
  <sheetData>
    <row r="1" spans="1:1" x14ac:dyDescent="0.35">
      <c r="A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DC2E-7106-46D3-9837-591B8EF5A56B}">
  <dimension ref="B3:F14"/>
  <sheetViews>
    <sheetView showGridLines="0" workbookViewId="0">
      <selection activeCell="C10" sqref="C10"/>
    </sheetView>
  </sheetViews>
  <sheetFormatPr defaultRowHeight="14.5" x14ac:dyDescent="0.35"/>
  <cols>
    <col min="2" max="2" width="38.453125" customWidth="1"/>
    <col min="3" max="6" width="11.81640625" bestFit="1" customWidth="1"/>
  </cols>
  <sheetData>
    <row r="3" spans="2:6" x14ac:dyDescent="0.35">
      <c r="B3" s="23" t="s">
        <v>276</v>
      </c>
    </row>
    <row r="4" spans="2:6" x14ac:dyDescent="0.35">
      <c r="B4" s="80" t="s">
        <v>257</v>
      </c>
      <c r="C4" s="89" t="s">
        <v>267</v>
      </c>
      <c r="D4" s="89" t="s">
        <v>268</v>
      </c>
      <c r="E4" s="89" t="s">
        <v>269</v>
      </c>
      <c r="F4" s="89" t="s">
        <v>270</v>
      </c>
    </row>
    <row r="6" spans="2:6" x14ac:dyDescent="0.35">
      <c r="B6" t="s">
        <v>271</v>
      </c>
      <c r="C6" s="26">
        <f>'DATA Sheet'!B9</f>
        <v>464241.67</v>
      </c>
      <c r="D6" s="26">
        <v>867347</v>
      </c>
      <c r="E6" s="26">
        <v>355979</v>
      </c>
      <c r="F6" s="26">
        <v>183298</v>
      </c>
    </row>
    <row r="7" spans="2:6" x14ac:dyDescent="0.35">
      <c r="B7" t="s">
        <v>231</v>
      </c>
      <c r="C7" s="26">
        <f>'Historical FS'!L47</f>
        <v>3749</v>
      </c>
      <c r="D7" s="26">
        <v>11283</v>
      </c>
      <c r="E7" s="26">
        <v>988</v>
      </c>
      <c r="F7" s="26">
        <v>20291</v>
      </c>
    </row>
    <row r="8" spans="2:6" ht="15" thickBot="1" x14ac:dyDescent="0.4">
      <c r="B8" t="s">
        <v>232</v>
      </c>
      <c r="C8" s="26">
        <f>'Historical FS'!L60</f>
        <v>8727</v>
      </c>
      <c r="D8" s="26">
        <v>12908</v>
      </c>
      <c r="E8" s="26">
        <v>3794</v>
      </c>
      <c r="F8" s="26">
        <v>10556</v>
      </c>
    </row>
    <row r="9" spans="2:6" ht="15" thickBot="1" x14ac:dyDescent="0.4">
      <c r="B9" s="32" t="s">
        <v>230</v>
      </c>
      <c r="C9" s="33">
        <f>C6+C7-C8</f>
        <v>459263.67</v>
      </c>
      <c r="D9" s="33">
        <f t="shared" ref="D9:F9" si="0">D6+D7-D8</f>
        <v>865722</v>
      </c>
      <c r="E9" s="33">
        <f t="shared" si="0"/>
        <v>353173</v>
      </c>
      <c r="F9" s="33">
        <f t="shared" si="0"/>
        <v>193033</v>
      </c>
    </row>
    <row r="12" spans="2:6" x14ac:dyDescent="0.35">
      <c r="B12" t="s">
        <v>121</v>
      </c>
      <c r="C12" s="26">
        <f>'Historical FS'!L18</f>
        <v>36013</v>
      </c>
      <c r="D12" s="26">
        <v>74079</v>
      </c>
      <c r="E12" s="26">
        <v>17059</v>
      </c>
      <c r="F12" s="26">
        <v>18211</v>
      </c>
    </row>
    <row r="13" spans="2:6" ht="15" thickBot="1" x14ac:dyDescent="0.4"/>
    <row r="14" spans="2:6" ht="15" thickBot="1" x14ac:dyDescent="0.4">
      <c r="B14" s="32" t="s">
        <v>272</v>
      </c>
      <c r="C14" s="92">
        <f>C9/C12</f>
        <v>12.752719018132341</v>
      </c>
      <c r="D14" s="92">
        <f t="shared" ref="D14:F14" si="1">D9/D12</f>
        <v>11.686469849754991</v>
      </c>
      <c r="E14" s="92">
        <f t="shared" si="1"/>
        <v>20.703030658303536</v>
      </c>
      <c r="F14" s="92">
        <f t="shared" si="1"/>
        <v>10.599802317280764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7D6C-EA83-4904-8997-E80F053578D1}">
  <sheetPr>
    <tabColor theme="5" tint="-0.249977111117893"/>
  </sheetPr>
  <dimension ref="A1"/>
  <sheetViews>
    <sheetView showGridLines="0" topLeftCell="A7" workbookViewId="0">
      <selection activeCell="H17" sqref="H17"/>
    </sheetView>
  </sheetViews>
  <sheetFormatPr defaultRowHeight="14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4FCF-CDF6-41A9-829F-CE29AB21C1F5}">
  <dimension ref="A3:J33"/>
  <sheetViews>
    <sheetView showGridLines="0" topLeftCell="A14" workbookViewId="0">
      <selection activeCell="C29" sqref="C29"/>
    </sheetView>
  </sheetViews>
  <sheetFormatPr defaultRowHeight="14.5" x14ac:dyDescent="0.35"/>
  <cols>
    <col min="1" max="1" width="3.90625" customWidth="1"/>
    <col min="2" max="2" width="23.54296875" bestFit="1" customWidth="1"/>
    <col min="3" max="3" width="12.90625" bestFit="1" customWidth="1"/>
    <col min="4" max="5" width="10.26953125" bestFit="1" customWidth="1"/>
    <col min="6" max="6" width="12.90625" bestFit="1" customWidth="1"/>
    <col min="7" max="7" width="10.26953125" bestFit="1" customWidth="1"/>
    <col min="8" max="8" width="19.26953125" bestFit="1" customWidth="1"/>
    <col min="9" max="9" width="12.7265625" bestFit="1" customWidth="1"/>
    <col min="10" max="10" width="23.1796875" bestFit="1" customWidth="1"/>
  </cols>
  <sheetData>
    <row r="3" spans="1:10" x14ac:dyDescent="0.35">
      <c r="A3" t="s">
        <v>112</v>
      </c>
      <c r="B3" s="106" t="str">
        <f>'DATA Sheet'!B1&amp;" DCF Valuation"</f>
        <v>INFOSYS LTD DCF Valuation</v>
      </c>
      <c r="C3" s="106"/>
      <c r="D3" s="106"/>
      <c r="E3" s="106"/>
      <c r="F3" s="106"/>
      <c r="G3" s="106"/>
    </row>
    <row r="4" spans="1:10" x14ac:dyDescent="0.35">
      <c r="B4" s="58" t="s">
        <v>168</v>
      </c>
      <c r="C4" s="59">
        <v>2027</v>
      </c>
      <c r="D4" s="59">
        <f t="shared" ref="D4:G4" si="0">C4+1</f>
        <v>2028</v>
      </c>
      <c r="E4" s="59">
        <f t="shared" si="0"/>
        <v>2029</v>
      </c>
      <c r="F4" s="59">
        <f t="shared" si="0"/>
        <v>2030</v>
      </c>
      <c r="G4" s="59">
        <f t="shared" si="0"/>
        <v>2031</v>
      </c>
      <c r="I4" s="22" t="s">
        <v>225</v>
      </c>
    </row>
    <row r="5" spans="1:10" x14ac:dyDescent="0.35">
      <c r="B5" t="s">
        <v>218</v>
      </c>
      <c r="C5" s="26">
        <f>('Forecasted FS'!C17-'Forecasted FS'!C20)*(1-'Forecast Drivers'!M89)</f>
        <v>27636.382988226182</v>
      </c>
      <c r="D5" s="26">
        <f>('Forecasted FS'!D17-'Forecasted FS'!D20)*(1-'Forecast Drivers'!N89)</f>
        <v>30480.141714146899</v>
      </c>
      <c r="E5" s="26">
        <f>('Forecasted FS'!E17-'Forecasted FS'!E20)*(1-'Forecast Drivers'!O89)</f>
        <v>33577.072423445563</v>
      </c>
      <c r="F5" s="26">
        <f>('Forecasted FS'!F17-'Forecasted FS'!F20)*(1-'Forecast Drivers'!P89)</f>
        <v>36947.861820052633</v>
      </c>
      <c r="G5" s="26">
        <f>('Forecasted FS'!G17-'Forecasted FS'!G20)*(1-'Forecast Drivers'!Q89)</f>
        <v>40614.778045252693</v>
      </c>
      <c r="I5" s="60" t="s">
        <v>251</v>
      </c>
      <c r="J5" s="61">
        <f>G13</f>
        <v>36400.216453477973</v>
      </c>
    </row>
    <row r="6" spans="1:10" x14ac:dyDescent="0.35">
      <c r="A6" t="s">
        <v>287</v>
      </c>
      <c r="B6" t="s">
        <v>21</v>
      </c>
      <c r="C6" s="26">
        <f>'Forecasted FS'!C20</f>
        <v>3107.8389222431301</v>
      </c>
      <c r="D6" s="26">
        <f>'Forecasted FS'!D20</f>
        <v>3351.565950213344</v>
      </c>
      <c r="E6" s="26">
        <f>'Forecasted FS'!E20</f>
        <v>3614.4068594526416</v>
      </c>
      <c r="F6" s="26">
        <f>'Forecasted FS'!F20</f>
        <v>3897.8606238754514</v>
      </c>
      <c r="G6" s="26">
        <f>'Forecasted FS'!G20</f>
        <v>4203.5437718983221</v>
      </c>
      <c r="I6" s="60" t="s">
        <v>252</v>
      </c>
      <c r="J6" s="78">
        <f>7%+Scenarios!$H$6</f>
        <v>7.0000000000000007E-2</v>
      </c>
    </row>
    <row r="7" spans="1:10" x14ac:dyDescent="0.35">
      <c r="A7" t="s">
        <v>288</v>
      </c>
      <c r="B7" t="s">
        <v>219</v>
      </c>
      <c r="C7" s="34">
        <f>'Forecasted FS'!C75</f>
        <v>-5331.5622276334016</v>
      </c>
      <c r="D7" s="34">
        <f>'Forecasted FS'!D75</f>
        <v>-4611.0226753455518</v>
      </c>
      <c r="E7" s="34">
        <f>'Forecasted FS'!E75</f>
        <v>-4972.6343549348221</v>
      </c>
      <c r="F7" s="34">
        <f>'Forecasted FS'!F75</f>
        <v>-5362.6048208546163</v>
      </c>
      <c r="G7" s="34">
        <f>'Forecasted FS'!G75</f>
        <v>-5783.1580631128336</v>
      </c>
      <c r="I7" s="60" t="s">
        <v>253</v>
      </c>
      <c r="J7" s="65">
        <f>WACC!I7</f>
        <v>0.11798465613471225</v>
      </c>
    </row>
    <row r="8" spans="1:10" x14ac:dyDescent="0.35">
      <c r="A8" t="s">
        <v>288</v>
      </c>
      <c r="B8" t="s">
        <v>220</v>
      </c>
      <c r="C8" s="34">
        <f>'Forecasted FS'!C70</f>
        <v>-4051.7623121729412</v>
      </c>
      <c r="D8" s="34">
        <f>'Forecasted FS'!D70</f>
        <v>-2112.716203687909</v>
      </c>
      <c r="E8" s="34">
        <f>'Forecasted FS'!E70</f>
        <v>-2274.2038730840868</v>
      </c>
      <c r="F8" s="34">
        <f>'Forecasted FS'!F70</f>
        <v>-2447.9716173141569</v>
      </c>
      <c r="G8" s="34">
        <f>'Forecasted FS'!G70</f>
        <v>-2634.9473005602122</v>
      </c>
      <c r="I8" s="60" t="s">
        <v>223</v>
      </c>
      <c r="J8" s="61">
        <f>$J$5*(1+$J$6)/($J$7-$J$6)</f>
        <v>811680.95684333064</v>
      </c>
    </row>
    <row r="9" spans="1:10" ht="15" thickBot="1" x14ac:dyDescent="0.4"/>
    <row r="10" spans="1:10" ht="15" thickBot="1" x14ac:dyDescent="0.4">
      <c r="B10" s="32" t="s">
        <v>221</v>
      </c>
      <c r="C10" s="33">
        <f>SUM(C5:C8)</f>
        <v>21360.897370662969</v>
      </c>
      <c r="D10" s="33">
        <f t="shared" ref="D10:G10" si="1">SUM(D5:D8)</f>
        <v>27107.968785326782</v>
      </c>
      <c r="E10" s="33">
        <f t="shared" si="1"/>
        <v>29944.641054879292</v>
      </c>
      <c r="F10" s="33">
        <f t="shared" si="1"/>
        <v>33035.146005759314</v>
      </c>
      <c r="G10" s="33">
        <f t="shared" si="1"/>
        <v>36400.216453477973</v>
      </c>
    </row>
    <row r="13" spans="1:10" x14ac:dyDescent="0.35">
      <c r="B13" t="s">
        <v>222</v>
      </c>
      <c r="C13" s="26">
        <f>C10</f>
        <v>21360.897370662969</v>
      </c>
      <c r="D13" s="26">
        <f t="shared" ref="D13:G13" si="2">D10</f>
        <v>27107.968785326782</v>
      </c>
      <c r="E13" s="26">
        <f t="shared" si="2"/>
        <v>29944.641054879292</v>
      </c>
      <c r="F13" s="26">
        <f t="shared" si="2"/>
        <v>33035.146005759314</v>
      </c>
      <c r="G13" s="26">
        <f t="shared" si="2"/>
        <v>36400.216453477973</v>
      </c>
    </row>
    <row r="14" spans="1:10" ht="15" thickBot="1" x14ac:dyDescent="0.4">
      <c r="B14" t="s">
        <v>223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</row>
    <row r="15" spans="1:10" ht="15" thickBot="1" x14ac:dyDescent="0.4">
      <c r="B15" s="32" t="s">
        <v>224</v>
      </c>
      <c r="C15" s="33">
        <f>SUM(C13:C14)</f>
        <v>21360.897370662969</v>
      </c>
      <c r="D15" s="33">
        <f>SUM(D13:D14)</f>
        <v>27107.968785326782</v>
      </c>
      <c r="E15" s="33">
        <f>SUM(E13:E14)</f>
        <v>29944.641054879292</v>
      </c>
      <c r="F15" s="33">
        <f>SUM(F13:F14)</f>
        <v>33035.146005759314</v>
      </c>
      <c r="G15" s="33">
        <f>SUM(G13:G14)</f>
        <v>36400.216453477973</v>
      </c>
    </row>
    <row r="16" spans="1:10" x14ac:dyDescent="0.35">
      <c r="B16" s="22"/>
      <c r="C16" s="37"/>
      <c r="D16" s="37"/>
      <c r="E16" s="37"/>
      <c r="F16" s="37"/>
      <c r="G16" s="37"/>
    </row>
    <row r="17" spans="1:9" s="69" customFormat="1" ht="6.5" customHeight="1" x14ac:dyDescent="0.35">
      <c r="B17" s="67"/>
      <c r="C17" s="68"/>
      <c r="D17" s="68"/>
      <c r="E17" s="68"/>
      <c r="F17" s="68"/>
      <c r="G17" s="68"/>
    </row>
    <row r="19" spans="1:9" x14ac:dyDescent="0.35">
      <c r="A19" t="s">
        <v>112</v>
      </c>
      <c r="B19" s="16" t="s">
        <v>228</v>
      </c>
      <c r="C19" s="76">
        <f>WACC!I7</f>
        <v>0.11798465613471225</v>
      </c>
    </row>
    <row r="20" spans="1:9" x14ac:dyDescent="0.35">
      <c r="E20" s="60" t="s">
        <v>230</v>
      </c>
      <c r="F20" s="61">
        <f>C23</f>
        <v>568947.71344843809</v>
      </c>
      <c r="H20" s="60" t="s">
        <v>234</v>
      </c>
      <c r="I20" s="61">
        <f>F23</f>
        <v>563969.71344843809</v>
      </c>
    </row>
    <row r="21" spans="1:9" x14ac:dyDescent="0.35">
      <c r="B21" s="60" t="s">
        <v>226</v>
      </c>
      <c r="C21" s="61">
        <f>NPV(C19,C13,D13,E13,F13,G13)</f>
        <v>104211.89981706788</v>
      </c>
      <c r="E21" s="60" t="s">
        <v>232</v>
      </c>
      <c r="F21" s="61">
        <f>'Historical FS'!L60</f>
        <v>8727</v>
      </c>
      <c r="H21" s="60" t="s">
        <v>235</v>
      </c>
      <c r="I21" s="66">
        <f>'DATA Sheet'!B6</f>
        <v>405.80565559440561</v>
      </c>
    </row>
    <row r="22" spans="1:9" x14ac:dyDescent="0.35">
      <c r="B22" s="60" t="s">
        <v>227</v>
      </c>
      <c r="C22" s="61">
        <f>J8/(1+C19)^5</f>
        <v>464735.8136313702</v>
      </c>
      <c r="E22" s="60" t="s">
        <v>231</v>
      </c>
      <c r="F22" s="61">
        <f>'Historical FS'!L47</f>
        <v>3749</v>
      </c>
      <c r="H22" s="16" t="s">
        <v>236</v>
      </c>
      <c r="I22" s="77">
        <f>I20/I21</f>
        <v>1389.7532123409196</v>
      </c>
    </row>
    <row r="23" spans="1:9" x14ac:dyDescent="0.35">
      <c r="B23" s="16" t="s">
        <v>229</v>
      </c>
      <c r="C23" s="77">
        <f>SUM(C21:C22)</f>
        <v>568947.71344843809</v>
      </c>
      <c r="E23" s="16" t="s">
        <v>233</v>
      </c>
      <c r="F23" s="77">
        <f>F20+F22-F21</f>
        <v>563969.71344843809</v>
      </c>
    </row>
    <row r="25" spans="1:9" x14ac:dyDescent="0.35">
      <c r="C25" s="26"/>
    </row>
    <row r="27" spans="1:9" x14ac:dyDescent="0.35">
      <c r="A27" t="s">
        <v>112</v>
      </c>
      <c r="B27" s="23" t="s">
        <v>262</v>
      </c>
    </row>
    <row r="28" spans="1:9" x14ac:dyDescent="0.35">
      <c r="B28" s="85">
        <f>I22</f>
        <v>1389.7532123409196</v>
      </c>
      <c r="C28" s="86">
        <f>D28-0.01</f>
        <v>6.0000000000000005E-2</v>
      </c>
      <c r="D28" s="86">
        <f>J6</f>
        <v>7.0000000000000007E-2</v>
      </c>
      <c r="E28" s="86">
        <f>D28+0.01</f>
        <v>0.08</v>
      </c>
      <c r="F28" s="86">
        <f t="shared" ref="F28:G28" si="3">E28+0.01</f>
        <v>0.09</v>
      </c>
      <c r="G28" s="86">
        <f t="shared" si="3"/>
        <v>9.9999999999999992E-2</v>
      </c>
      <c r="H28" s="84" t="s">
        <v>263</v>
      </c>
    </row>
    <row r="29" spans="1:9" x14ac:dyDescent="0.35">
      <c r="B29" s="62">
        <f>B30-1%</f>
        <v>0.10798465613471225</v>
      </c>
      <c r="C29" s="61">
        <f>((NPV($B29,$C$13,$D$13,$E$13,$F$13,$G$13)+($J$5*(1+C$28)/($J$7-C$28))/(1+$B29)^5)+($F$21-$F$22))/$I$21</f>
        <v>1258.1693625229154</v>
      </c>
      <c r="D29" s="61">
        <f t="shared" ref="D29:G33" si="4">((NPV($B29,$C$13,$D$13,$E$13,$F$13,$G$13)+($J$5*(1+D$28)/($J$7-D$28))/(1+$B29)^5)+($F$21-$F$22))/$I$21</f>
        <v>1474.0121347329282</v>
      </c>
      <c r="E29" s="61">
        <f t="shared" si="4"/>
        <v>1803.5022552008945</v>
      </c>
      <c r="F29" s="61">
        <f t="shared" si="4"/>
        <v>2368.4715031463402</v>
      </c>
      <c r="G29" s="61">
        <f t="shared" si="4"/>
        <v>3561.719928312189</v>
      </c>
    </row>
    <row r="30" spans="1:9" x14ac:dyDescent="0.35">
      <c r="B30" s="62">
        <f>C19</f>
        <v>0.11798465613471225</v>
      </c>
      <c r="C30" s="61">
        <f t="shared" ref="C30:C33" si="5">((NPV($B30,$C$13,$D$13,$E$13,$F$13,$G$13)+($J$5*(1+C$28)/($J$7-C$28))/(1+$B30)^5)+($F$21-$F$22))/$I$21</f>
        <v>1207.9264079922859</v>
      </c>
      <c r="D30" s="61">
        <f t="shared" si="4"/>
        <v>1414.2871237409886</v>
      </c>
      <c r="E30" s="61">
        <f t="shared" si="4"/>
        <v>1729.3026157850704</v>
      </c>
      <c r="F30" s="61">
        <f t="shared" si="4"/>
        <v>2269.452546163976</v>
      </c>
      <c r="G30" s="61">
        <f t="shared" si="4"/>
        <v>3410.2811065183082</v>
      </c>
    </row>
    <row r="31" spans="1:9" x14ac:dyDescent="0.35">
      <c r="B31" s="62">
        <f>B30+1%</f>
        <v>0.12798465613471224</v>
      </c>
      <c r="C31" s="61">
        <f t="shared" si="5"/>
        <v>1160.2283752526357</v>
      </c>
      <c r="D31" s="61">
        <f t="shared" si="4"/>
        <v>1357.6025289435906</v>
      </c>
      <c r="E31" s="61">
        <f t="shared" si="4"/>
        <v>1658.8997788400077</v>
      </c>
      <c r="F31" s="61">
        <f t="shared" si="4"/>
        <v>2175.5273500711132</v>
      </c>
      <c r="G31" s="61">
        <f t="shared" si="4"/>
        <v>3266.675298407411</v>
      </c>
    </row>
    <row r="32" spans="1:9" x14ac:dyDescent="0.35">
      <c r="B32" s="62">
        <f t="shared" ref="B32:B33" si="6">B31+1%</f>
        <v>0.13798465613471225</v>
      </c>
      <c r="C32" s="61">
        <f t="shared" si="5"/>
        <v>1114.9239226514251</v>
      </c>
      <c r="D32" s="61">
        <f t="shared" si="4"/>
        <v>1303.7770622666314</v>
      </c>
      <c r="E32" s="61">
        <f t="shared" si="4"/>
        <v>1592.0667422287822</v>
      </c>
      <c r="F32" s="61">
        <f t="shared" si="4"/>
        <v>2086.3905278625448</v>
      </c>
      <c r="G32" s="61">
        <f t="shared" si="4"/>
        <v>3130.431563502179</v>
      </c>
    </row>
    <row r="33" spans="2:7" x14ac:dyDescent="0.35">
      <c r="B33" s="62">
        <f t="shared" si="6"/>
        <v>0.14798465613471226</v>
      </c>
      <c r="C33" s="61">
        <f t="shared" si="5"/>
        <v>1071.8719701240416</v>
      </c>
      <c r="D33" s="61">
        <f t="shared" si="4"/>
        <v>1252.6417479086304</v>
      </c>
      <c r="E33" s="61">
        <f t="shared" si="4"/>
        <v>1528.5919465155062</v>
      </c>
      <c r="F33" s="61">
        <f t="shared" si="4"/>
        <v>2001.7575029088127</v>
      </c>
      <c r="G33" s="61">
        <f t="shared" si="4"/>
        <v>3001.1111085471066</v>
      </c>
    </row>
  </sheetData>
  <mergeCells count="1">
    <mergeCell ref="B3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A9FE-A1CA-4681-AD82-4D5BACA05220}">
  <dimension ref="E3:J11"/>
  <sheetViews>
    <sheetView showGridLines="0" topLeftCell="D1" workbookViewId="0">
      <selection activeCell="I6" sqref="I6"/>
    </sheetView>
  </sheetViews>
  <sheetFormatPr defaultRowHeight="14.5" x14ac:dyDescent="0.35"/>
  <cols>
    <col min="5" max="5" width="17.26953125" bestFit="1" customWidth="1"/>
    <col min="6" max="6" width="11.81640625" bestFit="1" customWidth="1"/>
    <col min="8" max="8" width="10.36328125" customWidth="1"/>
    <col min="9" max="9" width="22.1796875" bestFit="1" customWidth="1"/>
  </cols>
  <sheetData>
    <row r="3" spans="5:10" x14ac:dyDescent="0.35">
      <c r="E3" s="106" t="str">
        <f>'DATA Sheet'!B1&amp;" DCF Valuation"</f>
        <v>INFOSYS LTD DCF Valuation</v>
      </c>
      <c r="F3" s="106"/>
      <c r="G3" s="106"/>
      <c r="H3" s="106"/>
      <c r="I3" s="106"/>
      <c r="J3" s="70"/>
    </row>
    <row r="4" spans="5:10" x14ac:dyDescent="0.35">
      <c r="E4" s="72" t="s">
        <v>168</v>
      </c>
      <c r="F4" s="73" t="s">
        <v>238</v>
      </c>
      <c r="G4" s="73" t="s">
        <v>239</v>
      </c>
      <c r="H4" s="73" t="s">
        <v>240</v>
      </c>
      <c r="I4" s="73" t="s">
        <v>241</v>
      </c>
      <c r="J4" s="71"/>
    </row>
    <row r="5" spans="5:10" x14ac:dyDescent="0.35">
      <c r="E5" t="s">
        <v>237</v>
      </c>
      <c r="F5" s="26">
        <f>'DATA Sheet'!B9</f>
        <v>464241.67</v>
      </c>
      <c r="G5" s="40">
        <f>F5/F7</f>
        <v>0.99198915653596254</v>
      </c>
      <c r="H5" s="40">
        <f>CAPM!C9</f>
        <v>0.11860138100088273</v>
      </c>
      <c r="I5" s="91">
        <f>G5*H5</f>
        <v>0.11765128390306599</v>
      </c>
    </row>
    <row r="6" spans="5:10" x14ac:dyDescent="0.35">
      <c r="E6" t="s">
        <v>231</v>
      </c>
      <c r="F6" s="26">
        <f>'Historical FS'!L47</f>
        <v>3749</v>
      </c>
      <c r="G6" s="40">
        <f>F6/F7</f>
        <v>8.0108434640374353E-3</v>
      </c>
      <c r="H6" s="40">
        <f>'Forecast Drivers'!L66*(1-'Historical FS'!L35)</f>
        <v>4.1615122445325926E-2</v>
      </c>
      <c r="I6" s="63">
        <f>G6*H6</f>
        <v>3.3337223164625677E-4</v>
      </c>
    </row>
    <row r="7" spans="5:10" x14ac:dyDescent="0.35">
      <c r="E7" t="s">
        <v>35</v>
      </c>
      <c r="F7" s="26">
        <f>SUM(F5:F6)</f>
        <v>467990.67</v>
      </c>
      <c r="I7" s="27">
        <f>SUM(I5:I6)</f>
        <v>0.11798465613471225</v>
      </c>
    </row>
    <row r="11" spans="5:10" x14ac:dyDescent="0.35">
      <c r="I11" s="27"/>
    </row>
  </sheetData>
  <mergeCells count="1">
    <mergeCell ref="E3:I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1864-26E0-43BF-8BEA-1B310B238466}">
  <dimension ref="B3:C9"/>
  <sheetViews>
    <sheetView showGridLines="0" workbookViewId="0">
      <selection activeCell="C6" sqref="C6"/>
    </sheetView>
  </sheetViews>
  <sheetFormatPr defaultRowHeight="14.5" x14ac:dyDescent="0.35"/>
  <cols>
    <col min="1" max="1" width="4.26953125" customWidth="1"/>
    <col min="2" max="2" width="13.54296875" bestFit="1" customWidth="1"/>
  </cols>
  <sheetData>
    <row r="3" spans="2:3" x14ac:dyDescent="0.35">
      <c r="B3" s="107" t="str">
        <f>'DATA Sheet'!B1&amp;" CAPM"</f>
        <v>INFOSYS LTD CAPM</v>
      </c>
      <c r="C3" s="107"/>
    </row>
    <row r="5" spans="2:3" x14ac:dyDescent="0.35">
      <c r="B5" t="s">
        <v>242</v>
      </c>
      <c r="C5" s="82">
        <v>7.0000000000000007E-2</v>
      </c>
    </row>
    <row r="6" spans="2:3" x14ac:dyDescent="0.35">
      <c r="B6" t="s">
        <v>243</v>
      </c>
      <c r="C6" s="82">
        <v>0.12</v>
      </c>
    </row>
    <row r="7" spans="2:3" x14ac:dyDescent="0.35">
      <c r="B7" t="s">
        <v>244</v>
      </c>
      <c r="C7" s="40">
        <f>BETA!K6</f>
        <v>0.97202762001765475</v>
      </c>
    </row>
    <row r="9" spans="2:3" x14ac:dyDescent="0.35">
      <c r="B9" t="s">
        <v>245</v>
      </c>
      <c r="C9">
        <f>C5+C7*(C6-C5)</f>
        <v>0.11860138100088273</v>
      </c>
    </row>
  </sheetData>
  <mergeCells count="1">
    <mergeCell ref="B3:C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5A33-6381-4EF7-BCF0-B3DA0F322395}">
  <dimension ref="B2:K1263"/>
  <sheetViews>
    <sheetView showGridLines="0" workbookViewId="0">
      <selection activeCell="C4" sqref="C4"/>
    </sheetView>
  </sheetViews>
  <sheetFormatPr defaultRowHeight="14.5" x14ac:dyDescent="0.35"/>
  <cols>
    <col min="2" max="2" width="10.26953125" bestFit="1" customWidth="1"/>
    <col min="6" max="6" width="9.36328125" bestFit="1" customWidth="1"/>
  </cols>
  <sheetData>
    <row r="2" spans="2:11" x14ac:dyDescent="0.35">
      <c r="D2" s="27"/>
    </row>
    <row r="3" spans="2:11" x14ac:dyDescent="0.35">
      <c r="B3" s="109" t="s">
        <v>246</v>
      </c>
      <c r="C3" s="109"/>
      <c r="D3" s="109"/>
      <c r="F3" s="109" t="s">
        <v>250</v>
      </c>
      <c r="G3" s="109"/>
      <c r="H3" s="109"/>
    </row>
    <row r="4" spans="2:11" x14ac:dyDescent="0.35">
      <c r="B4" t="s">
        <v>247</v>
      </c>
      <c r="C4" t="s">
        <v>248</v>
      </c>
      <c r="D4" t="s">
        <v>249</v>
      </c>
      <c r="F4" t="s">
        <v>247</v>
      </c>
      <c r="G4" t="s">
        <v>248</v>
      </c>
      <c r="H4" t="s">
        <v>249</v>
      </c>
    </row>
    <row r="5" spans="2:11" x14ac:dyDescent="0.35">
      <c r="B5" s="74">
        <v>44438</v>
      </c>
      <c r="C5">
        <v>16931.05</v>
      </c>
      <c r="F5" s="74">
        <v>44438</v>
      </c>
      <c r="G5" s="40">
        <v>1698.05</v>
      </c>
    </row>
    <row r="6" spans="2:11" x14ac:dyDescent="0.35">
      <c r="B6" s="74">
        <v>44439</v>
      </c>
      <c r="C6">
        <v>17132.2</v>
      </c>
      <c r="D6" s="64">
        <f>C6/C5-1</f>
        <v>1.1880539009689439E-2</v>
      </c>
      <c r="F6" s="74">
        <v>44439</v>
      </c>
      <c r="G6" s="40">
        <v>1706.45</v>
      </c>
      <c r="H6">
        <f>G6/G5-1</f>
        <v>4.9468507994465671E-3</v>
      </c>
      <c r="J6" s="60" t="s">
        <v>244</v>
      </c>
      <c r="K6" s="75">
        <f>SLOPE(H6:H1245,D6:D1245)</f>
        <v>0.97202762001765475</v>
      </c>
    </row>
    <row r="7" spans="2:11" x14ac:dyDescent="0.35">
      <c r="B7" s="74">
        <v>44440</v>
      </c>
      <c r="C7">
        <v>17076.25</v>
      </c>
      <c r="D7" s="64">
        <f t="shared" ref="D7:D70" si="0">C7/C6-1</f>
        <v>-3.2657802267076486E-3</v>
      </c>
      <c r="F7" s="74">
        <v>44440</v>
      </c>
      <c r="G7" s="40">
        <v>1677.75</v>
      </c>
      <c r="H7">
        <f t="shared" ref="H7:H70" si="1">G7/G6-1</f>
        <v>-1.6818541416390831E-2</v>
      </c>
    </row>
    <row r="8" spans="2:11" x14ac:dyDescent="0.35">
      <c r="B8" s="74">
        <v>44441</v>
      </c>
      <c r="C8">
        <v>17234.150000000001</v>
      </c>
      <c r="D8" s="64">
        <f t="shared" si="0"/>
        <v>9.2467608520607758E-3</v>
      </c>
      <c r="F8" s="74">
        <v>44441</v>
      </c>
      <c r="G8" s="40">
        <v>1689.1</v>
      </c>
      <c r="H8">
        <f t="shared" si="1"/>
        <v>6.7650126657725629E-3</v>
      </c>
    </row>
    <row r="9" spans="2:11" x14ac:dyDescent="0.35">
      <c r="B9" s="74">
        <v>44442</v>
      </c>
      <c r="C9">
        <v>17323.599999999999</v>
      </c>
      <c r="D9" s="64">
        <f t="shared" si="0"/>
        <v>5.1902762828452964E-3</v>
      </c>
      <c r="F9" s="74">
        <v>44442</v>
      </c>
      <c r="G9" s="40">
        <v>1700.65</v>
      </c>
      <c r="H9">
        <f t="shared" si="1"/>
        <v>6.8379610443431993E-3</v>
      </c>
      <c r="K9" s="27"/>
    </row>
    <row r="10" spans="2:11" x14ac:dyDescent="0.35">
      <c r="B10" s="74">
        <v>44445</v>
      </c>
      <c r="C10">
        <v>17377.8</v>
      </c>
      <c r="D10" s="64">
        <f t="shared" si="0"/>
        <v>3.1286799510494845E-3</v>
      </c>
      <c r="F10" s="74">
        <v>44445</v>
      </c>
      <c r="G10" s="40">
        <v>1730.4</v>
      </c>
      <c r="H10">
        <f t="shared" si="1"/>
        <v>1.7493311380942567E-2</v>
      </c>
      <c r="K10" s="27"/>
    </row>
    <row r="11" spans="2:11" x14ac:dyDescent="0.35">
      <c r="B11" s="74">
        <v>44446</v>
      </c>
      <c r="C11">
        <v>17362.099999999999</v>
      </c>
      <c r="D11" s="64">
        <f t="shared" si="0"/>
        <v>-9.0345153011317514E-4</v>
      </c>
      <c r="F11" s="74">
        <v>44446</v>
      </c>
      <c r="G11" s="40">
        <v>1706.65</v>
      </c>
      <c r="H11">
        <f t="shared" si="1"/>
        <v>-1.3725150254276453E-2</v>
      </c>
    </row>
    <row r="12" spans="2:11" x14ac:dyDescent="0.35">
      <c r="B12" s="74">
        <v>44447</v>
      </c>
      <c r="C12">
        <v>17353.5</v>
      </c>
      <c r="D12" s="64">
        <f t="shared" si="0"/>
        <v>-4.9533178590144278E-4</v>
      </c>
      <c r="F12" s="74">
        <v>44447</v>
      </c>
      <c r="G12" s="40">
        <v>1693.25</v>
      </c>
      <c r="H12">
        <f t="shared" si="1"/>
        <v>-7.8516391761638271E-3</v>
      </c>
    </row>
    <row r="13" spans="2:11" x14ac:dyDescent="0.35">
      <c r="B13" s="74">
        <v>44448</v>
      </c>
      <c r="C13">
        <v>17369.25</v>
      </c>
      <c r="D13" s="64">
        <f t="shared" si="0"/>
        <v>9.0759789091543475E-4</v>
      </c>
      <c r="F13" s="74">
        <v>44448</v>
      </c>
      <c r="G13" s="40">
        <v>1691.6</v>
      </c>
      <c r="H13">
        <f t="shared" si="1"/>
        <v>-9.7445740439983108E-4</v>
      </c>
    </row>
    <row r="14" spans="2:11" x14ac:dyDescent="0.35">
      <c r="B14" s="74">
        <v>44452</v>
      </c>
      <c r="C14">
        <v>17355.3</v>
      </c>
      <c r="D14" s="64">
        <f t="shared" si="0"/>
        <v>-8.0314348633370169E-4</v>
      </c>
      <c r="F14" s="74">
        <v>44452</v>
      </c>
      <c r="G14" s="40">
        <v>1691.9</v>
      </c>
      <c r="H14">
        <f t="shared" si="1"/>
        <v>1.7734689051795982E-4</v>
      </c>
    </row>
    <row r="15" spans="2:11" x14ac:dyDescent="0.35">
      <c r="B15" s="74">
        <v>44453</v>
      </c>
      <c r="C15">
        <v>17380</v>
      </c>
      <c r="D15" s="64">
        <f t="shared" si="0"/>
        <v>1.4231963722897145E-3</v>
      </c>
      <c r="F15" s="74">
        <v>44453</v>
      </c>
      <c r="G15" s="40">
        <v>1686.15</v>
      </c>
      <c r="H15">
        <f t="shared" si="1"/>
        <v>-3.3985460133577616E-3</v>
      </c>
    </row>
    <row r="16" spans="2:11" x14ac:dyDescent="0.35">
      <c r="B16" s="74">
        <v>44454</v>
      </c>
      <c r="C16">
        <v>17519.45</v>
      </c>
      <c r="D16" s="64">
        <f t="shared" si="0"/>
        <v>8.0235903337169123E-3</v>
      </c>
      <c r="F16" s="74">
        <v>44454</v>
      </c>
      <c r="G16" s="40">
        <v>1711.45</v>
      </c>
      <c r="H16">
        <f t="shared" si="1"/>
        <v>1.500459626960815E-2</v>
      </c>
    </row>
    <row r="17" spans="2:8" x14ac:dyDescent="0.35">
      <c r="B17" s="74">
        <v>44455</v>
      </c>
      <c r="C17">
        <v>17629.5</v>
      </c>
      <c r="D17" s="64">
        <f t="shared" si="0"/>
        <v>6.2815898900936418E-3</v>
      </c>
      <c r="F17" s="74">
        <v>44455</v>
      </c>
      <c r="G17" s="40">
        <v>1702.25</v>
      </c>
      <c r="H17">
        <f t="shared" si="1"/>
        <v>-5.3755587367436686E-3</v>
      </c>
    </row>
    <row r="18" spans="2:8" x14ac:dyDescent="0.35">
      <c r="B18" s="74">
        <v>44456</v>
      </c>
      <c r="C18">
        <v>17585.150000000001</v>
      </c>
      <c r="D18" s="64">
        <f t="shared" si="0"/>
        <v>-2.5156697580758225E-3</v>
      </c>
      <c r="F18" s="74">
        <v>44456</v>
      </c>
      <c r="G18" s="40">
        <v>1691.3</v>
      </c>
      <c r="H18">
        <f t="shared" si="1"/>
        <v>-6.4326626523718566E-3</v>
      </c>
    </row>
    <row r="19" spans="2:8" x14ac:dyDescent="0.35">
      <c r="B19" s="74">
        <v>44459</v>
      </c>
      <c r="C19">
        <v>17396.900000000001</v>
      </c>
      <c r="D19" s="64">
        <f t="shared" si="0"/>
        <v>-1.0705055117528173E-2</v>
      </c>
      <c r="F19" s="74">
        <v>44459</v>
      </c>
      <c r="G19" s="40">
        <v>1687.85</v>
      </c>
      <c r="H19">
        <f t="shared" si="1"/>
        <v>-2.0398510021877314E-3</v>
      </c>
    </row>
    <row r="20" spans="2:8" x14ac:dyDescent="0.35">
      <c r="B20" s="74">
        <v>44460</v>
      </c>
      <c r="C20">
        <v>17562</v>
      </c>
      <c r="D20" s="64">
        <f t="shared" si="0"/>
        <v>9.4901965292666368E-3</v>
      </c>
      <c r="F20" s="74">
        <v>44460</v>
      </c>
      <c r="G20" s="40">
        <v>1718.45</v>
      </c>
      <c r="H20">
        <f t="shared" si="1"/>
        <v>1.812957312557395E-2</v>
      </c>
    </row>
    <row r="21" spans="2:8" x14ac:dyDescent="0.35">
      <c r="B21" s="74">
        <v>44461</v>
      </c>
      <c r="C21">
        <v>17546.650000000001</v>
      </c>
      <c r="D21" s="64">
        <f t="shared" si="0"/>
        <v>-8.7404623619169453E-4</v>
      </c>
      <c r="F21" s="74">
        <v>44461</v>
      </c>
      <c r="G21" s="40">
        <v>1716.9</v>
      </c>
      <c r="H21">
        <f t="shared" si="1"/>
        <v>-9.0197561756233391E-4</v>
      </c>
    </row>
    <row r="22" spans="2:8" x14ac:dyDescent="0.35">
      <c r="B22" s="74">
        <v>44462</v>
      </c>
      <c r="C22">
        <v>17822.95</v>
      </c>
      <c r="D22" s="64">
        <f t="shared" si="0"/>
        <v>1.574659550398505E-2</v>
      </c>
      <c r="F22" s="74">
        <v>44462</v>
      </c>
      <c r="G22" s="40">
        <v>1742.55</v>
      </c>
      <c r="H22">
        <f t="shared" si="1"/>
        <v>1.493971693167917E-2</v>
      </c>
    </row>
    <row r="23" spans="2:8" x14ac:dyDescent="0.35">
      <c r="B23" s="74">
        <v>44463</v>
      </c>
      <c r="C23">
        <v>17853.2</v>
      </c>
      <c r="D23" s="64">
        <f t="shared" si="0"/>
        <v>1.6972498940972525E-3</v>
      </c>
      <c r="F23" s="74">
        <v>44463</v>
      </c>
      <c r="G23" s="40">
        <v>1763.85</v>
      </c>
      <c r="H23">
        <f t="shared" si="1"/>
        <v>1.2223465610742945E-2</v>
      </c>
    </row>
    <row r="24" spans="2:8" x14ac:dyDescent="0.35">
      <c r="B24" s="74">
        <v>44466</v>
      </c>
      <c r="C24">
        <v>17855.099999999999</v>
      </c>
      <c r="D24" s="64">
        <f t="shared" si="0"/>
        <v>1.0642349830836118E-4</v>
      </c>
      <c r="F24" s="74">
        <v>44466</v>
      </c>
      <c r="G24" s="40">
        <v>1721.15</v>
      </c>
      <c r="H24">
        <f t="shared" si="1"/>
        <v>-2.4208407744422566E-2</v>
      </c>
    </row>
    <row r="25" spans="2:8" x14ac:dyDescent="0.35">
      <c r="B25" s="74">
        <v>44467</v>
      </c>
      <c r="C25">
        <v>17748.599999999999</v>
      </c>
      <c r="D25" s="64">
        <f t="shared" si="0"/>
        <v>-5.9646823596619658E-3</v>
      </c>
      <c r="F25" s="74">
        <v>44467</v>
      </c>
      <c r="G25" s="40">
        <v>1687.1</v>
      </c>
      <c r="H25">
        <f t="shared" si="1"/>
        <v>-1.9783284431920678E-2</v>
      </c>
    </row>
    <row r="26" spans="2:8" x14ac:dyDescent="0.35">
      <c r="B26" s="74">
        <v>44468</v>
      </c>
      <c r="C26">
        <v>17711.3</v>
      </c>
      <c r="D26" s="64">
        <f t="shared" si="0"/>
        <v>-2.1015742086699651E-3</v>
      </c>
      <c r="F26" s="74">
        <v>44468</v>
      </c>
      <c r="G26" s="40">
        <v>1692.25</v>
      </c>
      <c r="H26">
        <f t="shared" si="1"/>
        <v>3.0525754252861415E-3</v>
      </c>
    </row>
    <row r="27" spans="2:8" x14ac:dyDescent="0.35">
      <c r="B27" s="74">
        <v>44469</v>
      </c>
      <c r="C27">
        <v>17618.150000000001</v>
      </c>
      <c r="D27" s="64">
        <f t="shared" si="0"/>
        <v>-5.2593541976024838E-3</v>
      </c>
      <c r="F27" s="74">
        <v>44469</v>
      </c>
      <c r="G27" s="40">
        <v>1675.2</v>
      </c>
      <c r="H27">
        <f t="shared" si="1"/>
        <v>-1.0075343477618515E-2</v>
      </c>
    </row>
    <row r="28" spans="2:8" x14ac:dyDescent="0.35">
      <c r="B28" s="74">
        <v>44470</v>
      </c>
      <c r="C28">
        <v>17532.05</v>
      </c>
      <c r="D28" s="64">
        <f t="shared" si="0"/>
        <v>-4.8870057298866509E-3</v>
      </c>
      <c r="F28" s="74">
        <v>44470</v>
      </c>
      <c r="G28" s="40">
        <v>1665.15</v>
      </c>
      <c r="H28">
        <f t="shared" si="1"/>
        <v>-5.9992836676217021E-3</v>
      </c>
    </row>
    <row r="29" spans="2:8" x14ac:dyDescent="0.35">
      <c r="B29" s="74">
        <v>44473</v>
      </c>
      <c r="C29">
        <v>17691.25</v>
      </c>
      <c r="D29" s="64">
        <f t="shared" si="0"/>
        <v>9.0805125470210246E-3</v>
      </c>
      <c r="F29" s="74">
        <v>44473</v>
      </c>
      <c r="G29" s="40">
        <v>1678.75</v>
      </c>
      <c r="H29">
        <f t="shared" si="1"/>
        <v>8.1674323634506329E-3</v>
      </c>
    </row>
    <row r="30" spans="2:8" x14ac:dyDescent="0.35">
      <c r="B30" s="74">
        <v>44474</v>
      </c>
      <c r="C30">
        <v>17822.3</v>
      </c>
      <c r="D30" s="64">
        <f t="shared" si="0"/>
        <v>7.4076167596974773E-3</v>
      </c>
      <c r="F30" s="74">
        <v>44474</v>
      </c>
      <c r="G30" s="40">
        <v>1692.8</v>
      </c>
      <c r="H30">
        <f t="shared" si="1"/>
        <v>8.3693224125092058E-3</v>
      </c>
    </row>
    <row r="31" spans="2:8" x14ac:dyDescent="0.35">
      <c r="B31" s="74">
        <v>44475</v>
      </c>
      <c r="C31">
        <v>17646</v>
      </c>
      <c r="D31" s="64">
        <f t="shared" si="0"/>
        <v>-9.8921014683850395E-3</v>
      </c>
      <c r="F31" s="74">
        <v>44475</v>
      </c>
      <c r="G31" s="40">
        <v>1673.55</v>
      </c>
      <c r="H31">
        <f t="shared" si="1"/>
        <v>-1.1371691871455591E-2</v>
      </c>
    </row>
    <row r="32" spans="2:8" x14ac:dyDescent="0.35">
      <c r="B32" s="74">
        <v>44476</v>
      </c>
      <c r="C32">
        <v>17790.349999999999</v>
      </c>
      <c r="D32" s="64">
        <f t="shared" si="0"/>
        <v>8.1803241527824699E-3</v>
      </c>
      <c r="F32" s="74">
        <v>44476</v>
      </c>
      <c r="G32" s="40">
        <v>1691</v>
      </c>
      <c r="H32">
        <f t="shared" si="1"/>
        <v>1.042693675121753E-2</v>
      </c>
    </row>
    <row r="33" spans="2:8" x14ac:dyDescent="0.35">
      <c r="B33" s="74">
        <v>44477</v>
      </c>
      <c r="C33">
        <v>17895.2</v>
      </c>
      <c r="D33" s="64">
        <f t="shared" si="0"/>
        <v>5.893644588217839E-3</v>
      </c>
      <c r="F33" s="74">
        <v>44477</v>
      </c>
      <c r="G33" s="40">
        <v>1723.85</v>
      </c>
      <c r="H33">
        <f t="shared" si="1"/>
        <v>1.9426374926079237E-2</v>
      </c>
    </row>
    <row r="34" spans="2:8" x14ac:dyDescent="0.35">
      <c r="B34" s="74">
        <v>44480</v>
      </c>
      <c r="C34">
        <v>17945.95</v>
      </c>
      <c r="D34" s="64">
        <f t="shared" si="0"/>
        <v>2.8359560105504222E-3</v>
      </c>
      <c r="F34" s="74">
        <v>44480</v>
      </c>
      <c r="G34" s="40">
        <v>1690.95</v>
      </c>
      <c r="H34">
        <f t="shared" si="1"/>
        <v>-1.9085187226266731E-2</v>
      </c>
    </row>
    <row r="35" spans="2:8" x14ac:dyDescent="0.35">
      <c r="B35" s="74">
        <v>44481</v>
      </c>
      <c r="C35">
        <v>17991.95</v>
      </c>
      <c r="D35" s="64">
        <f t="shared" si="0"/>
        <v>2.5632524330001516E-3</v>
      </c>
      <c r="F35" s="74">
        <v>44481</v>
      </c>
      <c r="G35" s="40">
        <v>1685.15</v>
      </c>
      <c r="H35">
        <f t="shared" si="1"/>
        <v>-3.4300245424169207E-3</v>
      </c>
    </row>
    <row r="36" spans="2:8" x14ac:dyDescent="0.35">
      <c r="B36" s="74">
        <v>44482</v>
      </c>
      <c r="C36">
        <v>18161.75</v>
      </c>
      <c r="D36" s="64">
        <f t="shared" si="0"/>
        <v>9.4375540172131345E-3</v>
      </c>
      <c r="F36" s="74">
        <v>44482</v>
      </c>
      <c r="G36" s="40">
        <v>1709.2</v>
      </c>
      <c r="H36">
        <f t="shared" si="1"/>
        <v>1.4271726552532282E-2</v>
      </c>
    </row>
    <row r="37" spans="2:8" x14ac:dyDescent="0.35">
      <c r="B37" s="74">
        <v>44483</v>
      </c>
      <c r="C37">
        <v>18338.55</v>
      </c>
      <c r="D37" s="64">
        <f t="shared" si="0"/>
        <v>9.7347447244895413E-3</v>
      </c>
      <c r="F37" s="74">
        <v>44483</v>
      </c>
      <c r="G37" s="40">
        <v>1715.75</v>
      </c>
      <c r="H37">
        <f t="shared" si="1"/>
        <v>3.8322021998595801E-3</v>
      </c>
    </row>
    <row r="38" spans="2:8" x14ac:dyDescent="0.35">
      <c r="B38" s="74">
        <v>44487</v>
      </c>
      <c r="C38">
        <v>18477.05</v>
      </c>
      <c r="D38" s="64">
        <f t="shared" si="0"/>
        <v>7.5523964544634836E-3</v>
      </c>
      <c r="F38" s="74">
        <v>44487</v>
      </c>
      <c r="G38" s="40">
        <v>1792.15</v>
      </c>
      <c r="H38">
        <f t="shared" si="1"/>
        <v>4.4528631793676388E-2</v>
      </c>
    </row>
    <row r="39" spans="2:8" x14ac:dyDescent="0.35">
      <c r="B39" s="74">
        <v>44488</v>
      </c>
      <c r="C39">
        <v>18418.75</v>
      </c>
      <c r="D39" s="64">
        <f t="shared" si="0"/>
        <v>-3.1552655862272516E-3</v>
      </c>
      <c r="F39" s="74">
        <v>44488</v>
      </c>
      <c r="G39" s="40">
        <v>1822.15</v>
      </c>
      <c r="H39">
        <f t="shared" si="1"/>
        <v>1.6739670228496539E-2</v>
      </c>
    </row>
    <row r="40" spans="2:8" x14ac:dyDescent="0.35">
      <c r="B40" s="74">
        <v>44489</v>
      </c>
      <c r="C40">
        <v>18266.599999999999</v>
      </c>
      <c r="D40" s="64">
        <f t="shared" si="0"/>
        <v>-8.2606040040720252E-3</v>
      </c>
      <c r="F40" s="74">
        <v>44489</v>
      </c>
      <c r="G40" s="40">
        <v>1802.35</v>
      </c>
      <c r="H40">
        <f t="shared" si="1"/>
        <v>-1.0866284334440146E-2</v>
      </c>
    </row>
    <row r="41" spans="2:8" x14ac:dyDescent="0.35">
      <c r="B41" s="74">
        <v>44490</v>
      </c>
      <c r="C41">
        <v>18178.099999999999</v>
      </c>
      <c r="D41" s="64">
        <f t="shared" si="0"/>
        <v>-4.8449081930955762E-3</v>
      </c>
      <c r="F41" s="74">
        <v>44490</v>
      </c>
      <c r="G41" s="40">
        <v>1753.65</v>
      </c>
      <c r="H41">
        <f t="shared" si="1"/>
        <v>-2.7020279080089749E-2</v>
      </c>
    </row>
    <row r="42" spans="2:8" x14ac:dyDescent="0.35">
      <c r="B42" s="74">
        <v>44491</v>
      </c>
      <c r="C42">
        <v>18114.900000000001</v>
      </c>
      <c r="D42" s="64">
        <f t="shared" si="0"/>
        <v>-3.4767109873967694E-3</v>
      </c>
      <c r="F42" s="74">
        <v>44491</v>
      </c>
      <c r="G42" s="40">
        <v>1719.8</v>
      </c>
      <c r="H42">
        <f t="shared" si="1"/>
        <v>-1.9302597439626035E-2</v>
      </c>
    </row>
    <row r="43" spans="2:8" x14ac:dyDescent="0.35">
      <c r="B43" s="74">
        <v>44494</v>
      </c>
      <c r="C43">
        <v>18125.400000000001</v>
      </c>
      <c r="D43" s="64">
        <f t="shared" si="0"/>
        <v>5.7963334050969983E-4</v>
      </c>
      <c r="F43" s="74">
        <v>44494</v>
      </c>
      <c r="G43" s="40">
        <v>1707.55</v>
      </c>
      <c r="H43">
        <f t="shared" si="1"/>
        <v>-7.1229212699150946E-3</v>
      </c>
    </row>
    <row r="44" spans="2:8" x14ac:dyDescent="0.35">
      <c r="B44" s="74">
        <v>44495</v>
      </c>
      <c r="C44">
        <v>18268.400000000001</v>
      </c>
      <c r="D44" s="64">
        <f t="shared" si="0"/>
        <v>7.8894810597283094E-3</v>
      </c>
      <c r="F44" s="74">
        <v>44495</v>
      </c>
      <c r="G44" s="40">
        <v>1703.7</v>
      </c>
      <c r="H44">
        <f t="shared" si="1"/>
        <v>-2.2546923955374387E-3</v>
      </c>
    </row>
    <row r="45" spans="2:8" x14ac:dyDescent="0.35">
      <c r="B45" s="74">
        <v>44496</v>
      </c>
      <c r="C45">
        <v>18210.95</v>
      </c>
      <c r="D45" s="64">
        <f t="shared" si="0"/>
        <v>-3.1447745834337626E-3</v>
      </c>
      <c r="F45" s="74">
        <v>44496</v>
      </c>
      <c r="G45" s="40">
        <v>1728.95</v>
      </c>
      <c r="H45">
        <f t="shared" si="1"/>
        <v>1.482068439279205E-2</v>
      </c>
    </row>
    <row r="46" spans="2:8" x14ac:dyDescent="0.35">
      <c r="B46" s="74">
        <v>44497</v>
      </c>
      <c r="C46">
        <v>17857.25</v>
      </c>
      <c r="D46" s="64">
        <f t="shared" si="0"/>
        <v>-1.9422380490858537E-2</v>
      </c>
      <c r="F46" s="74">
        <v>44497</v>
      </c>
      <c r="G46" s="40">
        <v>1703.9</v>
      </c>
      <c r="H46">
        <f t="shared" si="1"/>
        <v>-1.4488562422279361E-2</v>
      </c>
    </row>
    <row r="47" spans="2:8" x14ac:dyDescent="0.35">
      <c r="B47" s="74">
        <v>44498</v>
      </c>
      <c r="C47">
        <v>17671.650000000001</v>
      </c>
      <c r="D47" s="64">
        <f t="shared" si="0"/>
        <v>-1.0393537638774042E-2</v>
      </c>
      <c r="F47" s="74">
        <v>44498</v>
      </c>
      <c r="G47" s="40">
        <v>1667.75</v>
      </c>
      <c r="H47">
        <f t="shared" si="1"/>
        <v>-2.1216033804800749E-2</v>
      </c>
    </row>
    <row r="48" spans="2:8" x14ac:dyDescent="0.35">
      <c r="B48" s="74">
        <v>44501</v>
      </c>
      <c r="C48">
        <v>17929.650000000001</v>
      </c>
      <c r="D48" s="64">
        <f t="shared" si="0"/>
        <v>1.4599655380227672E-2</v>
      </c>
      <c r="F48" s="74">
        <v>44501</v>
      </c>
      <c r="G48" s="40">
        <v>1700.05</v>
      </c>
      <c r="H48">
        <f t="shared" si="1"/>
        <v>1.9367411182731109E-2</v>
      </c>
    </row>
    <row r="49" spans="2:8" x14ac:dyDescent="0.35">
      <c r="B49" s="74">
        <v>44502</v>
      </c>
      <c r="C49">
        <v>17888.95</v>
      </c>
      <c r="D49" s="64">
        <f t="shared" si="0"/>
        <v>-2.2699829611844136E-3</v>
      </c>
      <c r="F49" s="74">
        <v>44502</v>
      </c>
      <c r="G49" s="40">
        <v>1697.9</v>
      </c>
      <c r="H49">
        <f t="shared" si="1"/>
        <v>-1.2646686862149981E-3</v>
      </c>
    </row>
    <row r="50" spans="2:8" x14ac:dyDescent="0.35">
      <c r="B50" s="74">
        <v>44503</v>
      </c>
      <c r="C50">
        <v>17829.2</v>
      </c>
      <c r="D50" s="64">
        <f t="shared" si="0"/>
        <v>-3.3400507016901892E-3</v>
      </c>
      <c r="F50" s="74">
        <v>44503</v>
      </c>
      <c r="G50" s="40">
        <v>1702.5</v>
      </c>
      <c r="H50">
        <f t="shared" si="1"/>
        <v>2.7092290476471437E-3</v>
      </c>
    </row>
    <row r="51" spans="2:8" x14ac:dyDescent="0.35">
      <c r="B51" s="74">
        <v>44504</v>
      </c>
      <c r="C51">
        <v>17916.8</v>
      </c>
      <c r="D51" s="64">
        <f t="shared" si="0"/>
        <v>4.913288313552977E-3</v>
      </c>
      <c r="F51" s="74">
        <v>44504</v>
      </c>
      <c r="G51" s="40">
        <v>1708.7</v>
      </c>
      <c r="H51">
        <f t="shared" si="1"/>
        <v>3.6417033773861185E-3</v>
      </c>
    </row>
    <row r="52" spans="2:8" x14ac:dyDescent="0.35">
      <c r="B52" s="74">
        <v>44508</v>
      </c>
      <c r="C52">
        <v>18068.55</v>
      </c>
      <c r="D52" s="64">
        <f t="shared" si="0"/>
        <v>8.469704411502077E-3</v>
      </c>
      <c r="F52" s="74">
        <v>44508</v>
      </c>
      <c r="G52" s="40">
        <v>1737.5</v>
      </c>
      <c r="H52">
        <f t="shared" si="1"/>
        <v>1.6854918944226638E-2</v>
      </c>
    </row>
    <row r="53" spans="2:8" x14ac:dyDescent="0.35">
      <c r="B53" s="74">
        <v>44509</v>
      </c>
      <c r="C53">
        <v>18044.25</v>
      </c>
      <c r="D53" s="64">
        <f t="shared" si="0"/>
        <v>-1.3448782553109329E-3</v>
      </c>
      <c r="F53" s="74">
        <v>44509</v>
      </c>
      <c r="G53" s="40">
        <v>1742.5</v>
      </c>
      <c r="H53">
        <f t="shared" si="1"/>
        <v>2.8776978417266452E-3</v>
      </c>
    </row>
    <row r="54" spans="2:8" x14ac:dyDescent="0.35">
      <c r="B54" s="74">
        <v>44510</v>
      </c>
      <c r="C54">
        <v>18017.2</v>
      </c>
      <c r="D54" s="64">
        <f t="shared" si="0"/>
        <v>-1.4990925086938445E-3</v>
      </c>
      <c r="F54" s="74">
        <v>44510</v>
      </c>
      <c r="G54" s="40">
        <v>1740.15</v>
      </c>
      <c r="H54">
        <f t="shared" si="1"/>
        <v>-1.3486370157819172E-3</v>
      </c>
    </row>
    <row r="55" spans="2:8" x14ac:dyDescent="0.35">
      <c r="B55" s="74">
        <v>44511</v>
      </c>
      <c r="C55">
        <v>17873.599999999999</v>
      </c>
      <c r="D55" s="64">
        <f t="shared" si="0"/>
        <v>-7.9701618453479339E-3</v>
      </c>
      <c r="F55" s="74">
        <v>44511</v>
      </c>
      <c r="G55" s="40">
        <v>1733.3</v>
      </c>
      <c r="H55">
        <f t="shared" si="1"/>
        <v>-3.9364422607247596E-3</v>
      </c>
    </row>
    <row r="56" spans="2:8" x14ac:dyDescent="0.35">
      <c r="B56" s="74">
        <v>44512</v>
      </c>
      <c r="C56">
        <v>18102.75</v>
      </c>
      <c r="D56" s="64">
        <f t="shared" si="0"/>
        <v>1.2820584549279479E-2</v>
      </c>
      <c r="F56" s="74">
        <v>44512</v>
      </c>
      <c r="G56" s="40">
        <v>1780.2</v>
      </c>
      <c r="H56">
        <f t="shared" si="1"/>
        <v>2.7058212657935732E-2</v>
      </c>
    </row>
    <row r="57" spans="2:8" x14ac:dyDescent="0.35">
      <c r="B57" s="74">
        <v>44515</v>
      </c>
      <c r="C57">
        <v>18109.45</v>
      </c>
      <c r="D57" s="64">
        <f t="shared" si="0"/>
        <v>3.7010951374805146E-4</v>
      </c>
      <c r="F57" s="74">
        <v>44515</v>
      </c>
      <c r="G57" s="40">
        <v>1787.15</v>
      </c>
      <c r="H57">
        <f t="shared" si="1"/>
        <v>3.9040557240759277E-3</v>
      </c>
    </row>
    <row r="58" spans="2:8" x14ac:dyDescent="0.35">
      <c r="B58" s="74">
        <v>44516</v>
      </c>
      <c r="C58">
        <v>17999.2</v>
      </c>
      <c r="D58" s="64">
        <f t="shared" si="0"/>
        <v>-6.0879816891180605E-3</v>
      </c>
      <c r="F58" s="74">
        <v>44516</v>
      </c>
      <c r="G58" s="40">
        <v>1792.3</v>
      </c>
      <c r="H58">
        <f t="shared" si="1"/>
        <v>2.8816831267659548E-3</v>
      </c>
    </row>
    <row r="59" spans="2:8" x14ac:dyDescent="0.35">
      <c r="B59" s="74">
        <v>44517</v>
      </c>
      <c r="C59">
        <v>17898.650000000001</v>
      </c>
      <c r="D59" s="64">
        <f t="shared" si="0"/>
        <v>-5.5863593937507394E-3</v>
      </c>
      <c r="F59" s="74">
        <v>44517</v>
      </c>
      <c r="G59" s="40">
        <v>1787.45</v>
      </c>
      <c r="H59">
        <f t="shared" si="1"/>
        <v>-2.7060201975115383E-3</v>
      </c>
    </row>
    <row r="60" spans="2:8" x14ac:dyDescent="0.35">
      <c r="B60" s="74">
        <v>44518</v>
      </c>
      <c r="C60">
        <v>17764.8</v>
      </c>
      <c r="D60" s="64">
        <f t="shared" si="0"/>
        <v>-7.4782176309388104E-3</v>
      </c>
      <c r="F60" s="74">
        <v>44518</v>
      </c>
      <c r="G60" s="40">
        <v>1779.4</v>
      </c>
      <c r="H60">
        <f t="shared" si="1"/>
        <v>-4.5036224789504198E-3</v>
      </c>
    </row>
    <row r="61" spans="2:8" x14ac:dyDescent="0.35">
      <c r="B61" s="74">
        <v>44522</v>
      </c>
      <c r="C61">
        <v>17416.55</v>
      </c>
      <c r="D61" s="64">
        <f t="shared" si="0"/>
        <v>-1.9603372962262444E-2</v>
      </c>
      <c r="F61" s="74">
        <v>44522</v>
      </c>
      <c r="G61" s="40">
        <v>1759.4</v>
      </c>
      <c r="H61">
        <f t="shared" si="1"/>
        <v>-1.1239743733842844E-2</v>
      </c>
    </row>
    <row r="62" spans="2:8" x14ac:dyDescent="0.35">
      <c r="B62" s="74">
        <v>44523</v>
      </c>
      <c r="C62">
        <v>17503.349999999999</v>
      </c>
      <c r="D62" s="64">
        <f t="shared" si="0"/>
        <v>4.9837654414910393E-3</v>
      </c>
      <c r="F62" s="74">
        <v>44523</v>
      </c>
      <c r="G62" s="40">
        <v>1736.9</v>
      </c>
      <c r="H62">
        <f t="shared" si="1"/>
        <v>-1.2788450608161916E-2</v>
      </c>
    </row>
    <row r="63" spans="2:8" x14ac:dyDescent="0.35">
      <c r="B63" s="74">
        <v>44524</v>
      </c>
      <c r="C63">
        <v>17415.05</v>
      </c>
      <c r="D63" s="64">
        <f t="shared" si="0"/>
        <v>-5.0447485767010081E-3</v>
      </c>
      <c r="F63" s="74">
        <v>44524</v>
      </c>
      <c r="G63" s="40">
        <v>1696</v>
      </c>
      <c r="H63">
        <f t="shared" si="1"/>
        <v>-2.3547699925154042E-2</v>
      </c>
    </row>
    <row r="64" spans="2:8" x14ac:dyDescent="0.35">
      <c r="B64" s="74">
        <v>44525</v>
      </c>
      <c r="C64">
        <v>17536.25</v>
      </c>
      <c r="D64" s="64">
        <f t="shared" si="0"/>
        <v>6.959497675860904E-3</v>
      </c>
      <c r="F64" s="74">
        <v>44525</v>
      </c>
      <c r="G64" s="40">
        <v>1722.4</v>
      </c>
      <c r="H64">
        <f t="shared" si="1"/>
        <v>1.5566037735849081E-2</v>
      </c>
    </row>
    <row r="65" spans="2:8" x14ac:dyDescent="0.35">
      <c r="B65" s="74">
        <v>44526</v>
      </c>
      <c r="C65">
        <v>17026.45</v>
      </c>
      <c r="D65" s="64">
        <f t="shared" si="0"/>
        <v>-2.9071209637180129E-2</v>
      </c>
      <c r="F65" s="74">
        <v>44526</v>
      </c>
      <c r="G65" s="40">
        <v>1691.65</v>
      </c>
      <c r="H65">
        <f t="shared" si="1"/>
        <v>-1.7852995819786388E-2</v>
      </c>
    </row>
    <row r="66" spans="2:8" x14ac:dyDescent="0.35">
      <c r="B66" s="74">
        <v>44529</v>
      </c>
      <c r="C66">
        <v>17053.95</v>
      </c>
      <c r="D66" s="64">
        <f t="shared" si="0"/>
        <v>1.6151341001793273E-3</v>
      </c>
      <c r="F66" s="74">
        <v>44529</v>
      </c>
      <c r="G66" s="40">
        <v>1696.35</v>
      </c>
      <c r="H66">
        <f t="shared" si="1"/>
        <v>2.7783524960836026E-3</v>
      </c>
    </row>
    <row r="67" spans="2:8" x14ac:dyDescent="0.35">
      <c r="B67" s="74">
        <v>44530</v>
      </c>
      <c r="C67">
        <v>16983.2</v>
      </c>
      <c r="D67" s="64">
        <f t="shared" si="0"/>
        <v>-4.1485990049225929E-3</v>
      </c>
      <c r="F67" s="74">
        <v>44530</v>
      </c>
      <c r="G67" s="40">
        <v>1712.65</v>
      </c>
      <c r="H67">
        <f t="shared" si="1"/>
        <v>9.6088660948507876E-3</v>
      </c>
    </row>
    <row r="68" spans="2:8" x14ac:dyDescent="0.35">
      <c r="B68" s="74">
        <v>44531</v>
      </c>
      <c r="C68">
        <v>17166.900000000001</v>
      </c>
      <c r="D68" s="64">
        <f t="shared" si="0"/>
        <v>1.0816571670827724E-2</v>
      </c>
      <c r="F68" s="74">
        <v>44531</v>
      </c>
      <c r="G68" s="40">
        <v>1714.9</v>
      </c>
      <c r="H68">
        <f t="shared" si="1"/>
        <v>1.3137535398359823E-3</v>
      </c>
    </row>
    <row r="69" spans="2:8" x14ac:dyDescent="0.35">
      <c r="B69" s="74">
        <v>44532</v>
      </c>
      <c r="C69">
        <v>17401.650000000001</v>
      </c>
      <c r="D69" s="64">
        <f t="shared" si="0"/>
        <v>1.3674571413592407E-2</v>
      </c>
      <c r="F69" s="74">
        <v>44532</v>
      </c>
      <c r="G69" s="40">
        <v>1748.25</v>
      </c>
      <c r="H69">
        <f t="shared" si="1"/>
        <v>1.9447198087352069E-2</v>
      </c>
    </row>
    <row r="70" spans="2:8" x14ac:dyDescent="0.35">
      <c r="B70" s="74">
        <v>44533</v>
      </c>
      <c r="C70">
        <v>17196.7</v>
      </c>
      <c r="D70" s="64">
        <f t="shared" si="0"/>
        <v>-1.1777618789022948E-2</v>
      </c>
      <c r="F70" s="74">
        <v>44533</v>
      </c>
      <c r="G70" s="40">
        <v>1735.55</v>
      </c>
      <c r="H70">
        <f t="shared" si="1"/>
        <v>-7.2644072644072466E-3</v>
      </c>
    </row>
    <row r="71" spans="2:8" x14ac:dyDescent="0.35">
      <c r="B71" s="74">
        <v>44536</v>
      </c>
      <c r="C71">
        <v>16912.25</v>
      </c>
      <c r="D71" s="64">
        <f t="shared" ref="D71:D134" si="2">C71/C70-1</f>
        <v>-1.6540964254769808E-2</v>
      </c>
      <c r="F71" s="74">
        <v>44536</v>
      </c>
      <c r="G71" s="40">
        <v>1695.3</v>
      </c>
      <c r="H71">
        <f t="shared" ref="H71:H134" si="3">G71/G70-1</f>
        <v>-2.3191495491342806E-2</v>
      </c>
    </row>
    <row r="72" spans="2:8" x14ac:dyDescent="0.35">
      <c r="B72" s="74">
        <v>44537</v>
      </c>
      <c r="C72">
        <v>17176.7</v>
      </c>
      <c r="D72" s="64">
        <f t="shared" si="2"/>
        <v>1.5636594775976009E-2</v>
      </c>
      <c r="F72" s="74">
        <v>44537</v>
      </c>
      <c r="G72" s="40">
        <v>1711.65</v>
      </c>
      <c r="H72">
        <f t="shared" si="3"/>
        <v>9.6443107414616591E-3</v>
      </c>
    </row>
    <row r="73" spans="2:8" x14ac:dyDescent="0.35">
      <c r="B73" s="74">
        <v>44538</v>
      </c>
      <c r="C73">
        <v>17469.75</v>
      </c>
      <c r="D73" s="64">
        <f t="shared" si="2"/>
        <v>1.7060902268771105E-2</v>
      </c>
      <c r="F73" s="74">
        <v>44538</v>
      </c>
      <c r="G73" s="40">
        <v>1753.35</v>
      </c>
      <c r="H73">
        <f t="shared" si="3"/>
        <v>2.4362457278064964E-2</v>
      </c>
    </row>
    <row r="74" spans="2:8" x14ac:dyDescent="0.35">
      <c r="B74" s="74">
        <v>44539</v>
      </c>
      <c r="C74">
        <v>17516.849999999999</v>
      </c>
      <c r="D74" s="64">
        <f t="shared" si="2"/>
        <v>2.6960889537628319E-3</v>
      </c>
      <c r="F74" s="74">
        <v>44539</v>
      </c>
      <c r="G74" s="40">
        <v>1763.45</v>
      </c>
      <c r="H74">
        <f t="shared" si="3"/>
        <v>5.7604015170960032E-3</v>
      </c>
    </row>
    <row r="75" spans="2:8" x14ac:dyDescent="0.35">
      <c r="B75" s="74">
        <v>44540</v>
      </c>
      <c r="C75">
        <v>17511.3</v>
      </c>
      <c r="D75" s="64">
        <f t="shared" si="2"/>
        <v>-3.1683778761593118E-4</v>
      </c>
      <c r="F75" s="74">
        <v>44540</v>
      </c>
      <c r="G75" s="40">
        <v>1759.25</v>
      </c>
      <c r="H75">
        <f t="shared" si="3"/>
        <v>-2.3816949729223991E-3</v>
      </c>
    </row>
    <row r="76" spans="2:8" x14ac:dyDescent="0.35">
      <c r="B76" s="74">
        <v>44543</v>
      </c>
      <c r="C76">
        <v>17368.25</v>
      </c>
      <c r="D76" s="64">
        <f t="shared" si="2"/>
        <v>-8.1690108672685113E-3</v>
      </c>
      <c r="F76" s="74">
        <v>44543</v>
      </c>
      <c r="G76" s="40">
        <v>1744.65</v>
      </c>
      <c r="H76">
        <f t="shared" si="3"/>
        <v>-8.2989910473212358E-3</v>
      </c>
    </row>
    <row r="77" spans="2:8" x14ac:dyDescent="0.35">
      <c r="B77" s="74">
        <v>44544</v>
      </c>
      <c r="C77">
        <v>17324.900000000001</v>
      </c>
      <c r="D77" s="64">
        <f t="shared" si="2"/>
        <v>-2.4959336720740133E-3</v>
      </c>
      <c r="F77" s="74">
        <v>44544</v>
      </c>
      <c r="G77" s="40">
        <v>1752.15</v>
      </c>
      <c r="H77">
        <f t="shared" si="3"/>
        <v>4.2988565041699456E-3</v>
      </c>
    </row>
    <row r="78" spans="2:8" x14ac:dyDescent="0.35">
      <c r="B78" s="74">
        <v>44545</v>
      </c>
      <c r="C78">
        <v>17221.400000000001</v>
      </c>
      <c r="D78" s="64">
        <f t="shared" si="2"/>
        <v>-5.9740604563374156E-3</v>
      </c>
      <c r="F78" s="74">
        <v>44545</v>
      </c>
      <c r="G78" s="40">
        <v>1734.2</v>
      </c>
      <c r="H78">
        <f t="shared" si="3"/>
        <v>-1.0244556687498241E-2</v>
      </c>
    </row>
    <row r="79" spans="2:8" x14ac:dyDescent="0.35">
      <c r="B79" s="74">
        <v>44546</v>
      </c>
      <c r="C79">
        <v>17248.400000000001</v>
      </c>
      <c r="D79" s="64">
        <f t="shared" si="2"/>
        <v>1.5678167860917469E-3</v>
      </c>
      <c r="F79" s="74">
        <v>44546</v>
      </c>
      <c r="G79" s="40">
        <v>1771.6</v>
      </c>
      <c r="H79">
        <f t="shared" si="3"/>
        <v>2.1566140006919587E-2</v>
      </c>
    </row>
    <row r="80" spans="2:8" x14ac:dyDescent="0.35">
      <c r="B80" s="74">
        <v>44547</v>
      </c>
      <c r="C80">
        <v>16985.2</v>
      </c>
      <c r="D80" s="64">
        <f t="shared" si="2"/>
        <v>-1.5259386377866946E-2</v>
      </c>
      <c r="F80" s="74">
        <v>44547</v>
      </c>
      <c r="G80" s="40">
        <v>1820.85</v>
      </c>
      <c r="H80">
        <f t="shared" si="3"/>
        <v>2.7799729058478162E-2</v>
      </c>
    </row>
    <row r="81" spans="2:8" x14ac:dyDescent="0.35">
      <c r="B81" s="74">
        <v>44550</v>
      </c>
      <c r="C81">
        <v>16614.2</v>
      </c>
      <c r="D81" s="64">
        <f t="shared" si="2"/>
        <v>-2.1842545274709746E-2</v>
      </c>
      <c r="F81" s="74">
        <v>44550</v>
      </c>
      <c r="G81" s="40">
        <v>1798.9</v>
      </c>
      <c r="H81">
        <f t="shared" si="3"/>
        <v>-1.2054809566960367E-2</v>
      </c>
    </row>
    <row r="82" spans="2:8" x14ac:dyDescent="0.35">
      <c r="B82" s="74">
        <v>44551</v>
      </c>
      <c r="C82">
        <v>16770.849999999999</v>
      </c>
      <c r="D82" s="64">
        <f t="shared" si="2"/>
        <v>9.4286814893282944E-3</v>
      </c>
      <c r="F82" s="74">
        <v>44551</v>
      </c>
      <c r="G82" s="40">
        <v>1811.6</v>
      </c>
      <c r="H82">
        <f t="shared" si="3"/>
        <v>7.0598699205068893E-3</v>
      </c>
    </row>
    <row r="83" spans="2:8" x14ac:dyDescent="0.35">
      <c r="B83" s="74">
        <v>44552</v>
      </c>
      <c r="C83">
        <v>16955.45</v>
      </c>
      <c r="D83" s="64">
        <f t="shared" si="2"/>
        <v>1.1007194030117962E-2</v>
      </c>
      <c r="F83" s="74">
        <v>44552</v>
      </c>
      <c r="G83" s="40">
        <v>1824.7</v>
      </c>
      <c r="H83">
        <f t="shared" si="3"/>
        <v>7.231176860234223E-3</v>
      </c>
    </row>
    <row r="84" spans="2:8" x14ac:dyDescent="0.35">
      <c r="B84" s="74">
        <v>44553</v>
      </c>
      <c r="C84">
        <v>17072.599999999999</v>
      </c>
      <c r="D84" s="64">
        <f t="shared" si="2"/>
        <v>6.9092828559547126E-3</v>
      </c>
      <c r="F84" s="74">
        <v>44553</v>
      </c>
      <c r="G84" s="40">
        <v>1857.6</v>
      </c>
      <c r="H84">
        <f t="shared" si="3"/>
        <v>1.8030361155258356E-2</v>
      </c>
    </row>
    <row r="85" spans="2:8" x14ac:dyDescent="0.35">
      <c r="B85" s="74">
        <v>44554</v>
      </c>
      <c r="C85">
        <v>17003.75</v>
      </c>
      <c r="D85" s="64">
        <f t="shared" si="2"/>
        <v>-4.0327776671390536E-3</v>
      </c>
      <c r="F85" s="74">
        <v>44554</v>
      </c>
      <c r="G85" s="40">
        <v>1863.5</v>
      </c>
      <c r="H85">
        <f t="shared" si="3"/>
        <v>3.1761412575366244E-3</v>
      </c>
    </row>
    <row r="86" spans="2:8" x14ac:dyDescent="0.35">
      <c r="B86" s="74">
        <v>44557</v>
      </c>
      <c r="C86">
        <v>17086.25</v>
      </c>
      <c r="D86" s="64">
        <f t="shared" si="2"/>
        <v>4.8518709108285041E-3</v>
      </c>
      <c r="F86" s="74">
        <v>44557</v>
      </c>
      <c r="G86" s="40">
        <v>1866.15</v>
      </c>
      <c r="H86">
        <f t="shared" si="3"/>
        <v>1.4220552723369639E-3</v>
      </c>
    </row>
    <row r="87" spans="2:8" x14ac:dyDescent="0.35">
      <c r="B87" s="74">
        <v>44558</v>
      </c>
      <c r="C87">
        <v>17233.25</v>
      </c>
      <c r="D87" s="64">
        <f t="shared" si="2"/>
        <v>8.6034091740434526E-3</v>
      </c>
      <c r="F87" s="74">
        <v>44558</v>
      </c>
      <c r="G87" s="40">
        <v>1888</v>
      </c>
      <c r="H87">
        <f t="shared" si="3"/>
        <v>1.1708597915494501E-2</v>
      </c>
    </row>
    <row r="88" spans="2:8" x14ac:dyDescent="0.35">
      <c r="B88" s="74">
        <v>44559</v>
      </c>
      <c r="C88">
        <v>17213.599999999999</v>
      </c>
      <c r="D88" s="64">
        <f t="shared" si="2"/>
        <v>-1.1402376220388533E-3</v>
      </c>
      <c r="F88" s="74">
        <v>44559</v>
      </c>
      <c r="G88" s="40">
        <v>1885.55</v>
      </c>
      <c r="H88">
        <f t="shared" si="3"/>
        <v>-1.2976694915254328E-3</v>
      </c>
    </row>
    <row r="89" spans="2:8" x14ac:dyDescent="0.35">
      <c r="B89" s="74">
        <v>44560</v>
      </c>
      <c r="C89">
        <v>17203.95</v>
      </c>
      <c r="D89" s="64">
        <f t="shared" si="2"/>
        <v>-5.6060324394646699E-4</v>
      </c>
      <c r="F89" s="74">
        <v>44560</v>
      </c>
      <c r="G89" s="40">
        <v>1892.85</v>
      </c>
      <c r="H89">
        <f t="shared" si="3"/>
        <v>3.8715494152898877E-3</v>
      </c>
    </row>
    <row r="90" spans="2:8" x14ac:dyDescent="0.35">
      <c r="B90" s="74">
        <v>44561</v>
      </c>
      <c r="C90">
        <v>17354.05</v>
      </c>
      <c r="D90" s="64">
        <f t="shared" si="2"/>
        <v>8.7247405392365529E-3</v>
      </c>
      <c r="F90" s="74">
        <v>44561</v>
      </c>
      <c r="G90" s="40">
        <v>1887.75</v>
      </c>
      <c r="H90">
        <f t="shared" si="3"/>
        <v>-2.694349789999162E-3</v>
      </c>
    </row>
    <row r="91" spans="2:8" x14ac:dyDescent="0.35">
      <c r="B91" s="74">
        <v>44564</v>
      </c>
      <c r="C91">
        <v>17625.7</v>
      </c>
      <c r="D91" s="64">
        <f t="shared" si="2"/>
        <v>1.5653406553513438E-2</v>
      </c>
      <c r="F91" s="74">
        <v>44564</v>
      </c>
      <c r="G91" s="40">
        <v>1898.45</v>
      </c>
      <c r="H91">
        <f t="shared" si="3"/>
        <v>5.6681234273605607E-3</v>
      </c>
    </row>
    <row r="92" spans="2:8" x14ac:dyDescent="0.35">
      <c r="B92" s="74">
        <v>44565</v>
      </c>
      <c r="C92">
        <v>17805.25</v>
      </c>
      <c r="D92" s="64">
        <f t="shared" si="2"/>
        <v>1.0186829459255531E-2</v>
      </c>
      <c r="F92" s="74">
        <v>44565</v>
      </c>
      <c r="G92" s="40">
        <v>1899.15</v>
      </c>
      <c r="H92">
        <f t="shared" si="3"/>
        <v>3.6872185203717933E-4</v>
      </c>
    </row>
    <row r="93" spans="2:8" x14ac:dyDescent="0.35">
      <c r="B93" s="74">
        <v>44566</v>
      </c>
      <c r="C93">
        <v>17925.25</v>
      </c>
      <c r="D93" s="64">
        <f t="shared" si="2"/>
        <v>6.7395852346920915E-3</v>
      </c>
      <c r="F93" s="74">
        <v>44566</v>
      </c>
      <c r="G93" s="40">
        <v>1844.65</v>
      </c>
      <c r="H93">
        <f t="shared" si="3"/>
        <v>-2.8697048679672488E-2</v>
      </c>
    </row>
    <row r="94" spans="2:8" x14ac:dyDescent="0.35">
      <c r="B94" s="74">
        <v>44567</v>
      </c>
      <c r="C94">
        <v>17745.900000000001</v>
      </c>
      <c r="D94" s="64">
        <f t="shared" si="2"/>
        <v>-1.0005439254682558E-2</v>
      </c>
      <c r="F94" s="74">
        <v>44567</v>
      </c>
      <c r="G94" s="40">
        <v>1817.8</v>
      </c>
      <c r="H94">
        <f t="shared" si="3"/>
        <v>-1.4555606754668937E-2</v>
      </c>
    </row>
    <row r="95" spans="2:8" x14ac:dyDescent="0.35">
      <c r="B95" s="74">
        <v>44568</v>
      </c>
      <c r="C95">
        <v>17812.7</v>
      </c>
      <c r="D95" s="64">
        <f t="shared" si="2"/>
        <v>3.7642497703693767E-3</v>
      </c>
      <c r="F95" s="74">
        <v>44568</v>
      </c>
      <c r="G95" s="40">
        <v>1814.3</v>
      </c>
      <c r="H95">
        <f t="shared" si="3"/>
        <v>-1.9254043349102856E-3</v>
      </c>
    </row>
    <row r="96" spans="2:8" x14ac:dyDescent="0.35">
      <c r="B96" s="74">
        <v>44571</v>
      </c>
      <c r="C96">
        <v>18003.3</v>
      </c>
      <c r="D96" s="64">
        <f t="shared" si="2"/>
        <v>1.0700230734251415E-2</v>
      </c>
      <c r="F96" s="74">
        <v>44571</v>
      </c>
      <c r="G96" s="40">
        <v>1850.75</v>
      </c>
      <c r="H96">
        <f t="shared" si="3"/>
        <v>2.0090392989031702E-2</v>
      </c>
    </row>
    <row r="97" spans="2:8" x14ac:dyDescent="0.35">
      <c r="B97" s="74">
        <v>44572</v>
      </c>
      <c r="C97">
        <v>18055.75</v>
      </c>
      <c r="D97" s="64">
        <f t="shared" si="2"/>
        <v>2.9133547738471322E-3</v>
      </c>
      <c r="F97" s="74">
        <v>44572</v>
      </c>
      <c r="G97" s="40">
        <v>1855.6</v>
      </c>
      <c r="H97">
        <f t="shared" si="3"/>
        <v>2.6205592327435134E-3</v>
      </c>
    </row>
    <row r="98" spans="2:8" x14ac:dyDescent="0.35">
      <c r="B98" s="74">
        <v>44573</v>
      </c>
      <c r="C98">
        <v>18212.349999999999</v>
      </c>
      <c r="D98" s="64">
        <f t="shared" si="2"/>
        <v>8.6731373662130018E-3</v>
      </c>
      <c r="F98" s="74">
        <v>44573</v>
      </c>
      <c r="G98" s="40">
        <v>1877.45</v>
      </c>
      <c r="H98">
        <f t="shared" si="3"/>
        <v>1.1775167061866876E-2</v>
      </c>
    </row>
    <row r="99" spans="2:8" x14ac:dyDescent="0.35">
      <c r="B99" s="74">
        <v>44574</v>
      </c>
      <c r="C99">
        <v>18257.8</v>
      </c>
      <c r="D99" s="64">
        <f t="shared" si="2"/>
        <v>2.495559331991748E-3</v>
      </c>
      <c r="F99" s="74">
        <v>44574</v>
      </c>
      <c r="G99" s="40">
        <v>1896.8</v>
      </c>
      <c r="H99">
        <f t="shared" si="3"/>
        <v>1.0306532797144996E-2</v>
      </c>
    </row>
    <row r="100" spans="2:8" x14ac:dyDescent="0.35">
      <c r="B100" s="74">
        <v>44575</v>
      </c>
      <c r="C100">
        <v>18255.75</v>
      </c>
      <c r="D100" s="64">
        <f t="shared" si="2"/>
        <v>-1.1228077862612817E-4</v>
      </c>
      <c r="F100" s="74">
        <v>44575</v>
      </c>
      <c r="G100" s="40">
        <v>1929.35</v>
      </c>
      <c r="H100">
        <f t="shared" si="3"/>
        <v>1.7160480809784939E-2</v>
      </c>
    </row>
    <row r="101" spans="2:8" x14ac:dyDescent="0.35">
      <c r="B101" s="74">
        <v>44578</v>
      </c>
      <c r="C101">
        <v>18308.099999999999</v>
      </c>
      <c r="D101" s="64">
        <f t="shared" si="2"/>
        <v>2.8675896635306231E-3</v>
      </c>
      <c r="F101" s="74">
        <v>44578</v>
      </c>
      <c r="G101" s="40">
        <v>1939.5</v>
      </c>
      <c r="H101">
        <f t="shared" si="3"/>
        <v>5.2608391427164669E-3</v>
      </c>
    </row>
    <row r="102" spans="2:8" x14ac:dyDescent="0.35">
      <c r="B102" s="74">
        <v>44579</v>
      </c>
      <c r="C102">
        <v>18113.05</v>
      </c>
      <c r="D102" s="64">
        <f t="shared" si="2"/>
        <v>-1.0653754349167821E-2</v>
      </c>
      <c r="F102" s="74">
        <v>44579</v>
      </c>
      <c r="G102" s="40">
        <v>1920.75</v>
      </c>
      <c r="H102">
        <f t="shared" si="3"/>
        <v>-9.6674400618715906E-3</v>
      </c>
    </row>
    <row r="103" spans="2:8" x14ac:dyDescent="0.35">
      <c r="B103" s="74">
        <v>44580</v>
      </c>
      <c r="C103">
        <v>17938.400000000001</v>
      </c>
      <c r="D103" s="64">
        <f t="shared" si="2"/>
        <v>-9.6422192838863108E-3</v>
      </c>
      <c r="F103" s="74">
        <v>44580</v>
      </c>
      <c r="G103" s="40">
        <v>1867.05</v>
      </c>
      <c r="H103">
        <f t="shared" si="3"/>
        <v>-2.795782897305743E-2</v>
      </c>
    </row>
    <row r="104" spans="2:8" x14ac:dyDescent="0.35">
      <c r="B104" s="74">
        <v>44581</v>
      </c>
      <c r="C104">
        <v>17757</v>
      </c>
      <c r="D104" s="64">
        <f t="shared" si="2"/>
        <v>-1.0112384605093117E-2</v>
      </c>
      <c r="F104" s="74">
        <v>44581</v>
      </c>
      <c r="G104" s="40">
        <v>1823.7</v>
      </c>
      <c r="H104">
        <f t="shared" si="3"/>
        <v>-2.3218446211938581E-2</v>
      </c>
    </row>
    <row r="105" spans="2:8" x14ac:dyDescent="0.35">
      <c r="B105" s="74">
        <v>44582</v>
      </c>
      <c r="C105">
        <v>17617.150000000001</v>
      </c>
      <c r="D105" s="64">
        <f t="shared" si="2"/>
        <v>-7.875767303035297E-3</v>
      </c>
      <c r="F105" s="74">
        <v>44582</v>
      </c>
      <c r="G105" s="40">
        <v>1785.7</v>
      </c>
      <c r="H105">
        <f t="shared" si="3"/>
        <v>-2.0836760432088597E-2</v>
      </c>
    </row>
    <row r="106" spans="2:8" x14ac:dyDescent="0.35">
      <c r="B106" s="74">
        <v>44585</v>
      </c>
      <c r="C106">
        <v>17149.099999999999</v>
      </c>
      <c r="D106" s="64">
        <f t="shared" si="2"/>
        <v>-2.6567861430481288E-2</v>
      </c>
      <c r="F106" s="74">
        <v>44585</v>
      </c>
      <c r="G106" s="40">
        <v>1736.8</v>
      </c>
      <c r="H106">
        <f t="shared" si="3"/>
        <v>-2.7384219073752658E-2</v>
      </c>
    </row>
    <row r="107" spans="2:8" x14ac:dyDescent="0.35">
      <c r="B107" s="74">
        <v>44586</v>
      </c>
      <c r="C107">
        <v>17277.95</v>
      </c>
      <c r="D107" s="64">
        <f t="shared" si="2"/>
        <v>7.5135138287141245E-3</v>
      </c>
      <c r="F107" s="74">
        <v>44586</v>
      </c>
      <c r="G107" s="40">
        <v>1722.15</v>
      </c>
      <c r="H107">
        <f t="shared" si="3"/>
        <v>-8.4350529709810163E-3</v>
      </c>
    </row>
    <row r="108" spans="2:8" x14ac:dyDescent="0.35">
      <c r="B108" s="74">
        <v>44588</v>
      </c>
      <c r="C108">
        <v>17110.150000000001</v>
      </c>
      <c r="D108" s="64">
        <f t="shared" si="2"/>
        <v>-9.7118003003827669E-3</v>
      </c>
      <c r="F108" s="74">
        <v>44588</v>
      </c>
      <c r="G108" s="40">
        <v>1678.6</v>
      </c>
      <c r="H108">
        <f t="shared" si="3"/>
        <v>-2.5288157245303977E-2</v>
      </c>
    </row>
    <row r="109" spans="2:8" x14ac:dyDescent="0.35">
      <c r="B109" s="74">
        <v>44589</v>
      </c>
      <c r="C109">
        <v>17101.95</v>
      </c>
      <c r="D109" s="64">
        <f t="shared" si="2"/>
        <v>-4.7924769800389289E-4</v>
      </c>
      <c r="F109" s="74">
        <v>44589</v>
      </c>
      <c r="G109" s="40">
        <v>1686.2</v>
      </c>
      <c r="H109">
        <f t="shared" si="3"/>
        <v>4.5275825092339073E-3</v>
      </c>
    </row>
    <row r="110" spans="2:8" x14ac:dyDescent="0.35">
      <c r="B110" s="74">
        <v>44592</v>
      </c>
      <c r="C110">
        <v>17339.849999999999</v>
      </c>
      <c r="D110" s="64">
        <f t="shared" si="2"/>
        <v>1.3910694394498657E-2</v>
      </c>
      <c r="F110" s="74">
        <v>44592</v>
      </c>
      <c r="G110" s="40">
        <v>1736.2</v>
      </c>
      <c r="H110">
        <f t="shared" si="3"/>
        <v>2.9652473016249514E-2</v>
      </c>
    </row>
    <row r="111" spans="2:8" x14ac:dyDescent="0.35">
      <c r="B111" s="74">
        <v>44593</v>
      </c>
      <c r="C111">
        <v>17576.849999999999</v>
      </c>
      <c r="D111" s="64">
        <f t="shared" si="2"/>
        <v>1.3667938303964622E-2</v>
      </c>
      <c r="F111" s="74">
        <v>44593</v>
      </c>
      <c r="G111" s="40">
        <v>1772.05</v>
      </c>
      <c r="H111">
        <f t="shared" si="3"/>
        <v>2.0648542794608815E-2</v>
      </c>
    </row>
    <row r="112" spans="2:8" x14ac:dyDescent="0.35">
      <c r="B112" s="74">
        <v>44594</v>
      </c>
      <c r="C112">
        <v>17780</v>
      </c>
      <c r="D112" s="64">
        <f t="shared" si="2"/>
        <v>1.1557816104706076E-2</v>
      </c>
      <c r="F112" s="74">
        <v>44594</v>
      </c>
      <c r="G112" s="40">
        <v>1787.1</v>
      </c>
      <c r="H112">
        <f t="shared" si="3"/>
        <v>8.4929883468298772E-3</v>
      </c>
    </row>
    <row r="113" spans="2:8" x14ac:dyDescent="0.35">
      <c r="B113" s="74">
        <v>44595</v>
      </c>
      <c r="C113">
        <v>17560.2</v>
      </c>
      <c r="D113" s="64">
        <f t="shared" si="2"/>
        <v>-1.2362204724409409E-2</v>
      </c>
      <c r="F113" s="74">
        <v>44595</v>
      </c>
      <c r="G113" s="40">
        <v>1738.55</v>
      </c>
      <c r="H113">
        <f t="shared" si="3"/>
        <v>-2.7166918471266288E-2</v>
      </c>
    </row>
    <row r="114" spans="2:8" x14ac:dyDescent="0.35">
      <c r="B114" s="74">
        <v>44596</v>
      </c>
      <c r="C114">
        <v>17516.3</v>
      </c>
      <c r="D114" s="64">
        <f t="shared" si="2"/>
        <v>-2.4999715265202616E-3</v>
      </c>
      <c r="F114" s="74">
        <v>44596</v>
      </c>
      <c r="G114" s="40">
        <v>1741.1</v>
      </c>
      <c r="H114">
        <f t="shared" si="3"/>
        <v>1.4667395243161963E-3</v>
      </c>
    </row>
    <row r="115" spans="2:8" x14ac:dyDescent="0.35">
      <c r="B115" s="74">
        <v>44599</v>
      </c>
      <c r="C115">
        <v>17213.599999999999</v>
      </c>
      <c r="D115" s="64">
        <f t="shared" si="2"/>
        <v>-1.7281046796412514E-2</v>
      </c>
      <c r="F115" s="74">
        <v>44599</v>
      </c>
      <c r="G115" s="40">
        <v>1715</v>
      </c>
      <c r="H115">
        <f t="shared" si="3"/>
        <v>-1.4990523232439212E-2</v>
      </c>
    </row>
    <row r="116" spans="2:8" x14ac:dyDescent="0.35">
      <c r="B116" s="74">
        <v>44600</v>
      </c>
      <c r="C116">
        <v>17266.75</v>
      </c>
      <c r="D116" s="64">
        <f t="shared" si="2"/>
        <v>3.0876748617372218E-3</v>
      </c>
      <c r="F116" s="74">
        <v>44600</v>
      </c>
      <c r="G116" s="40">
        <v>1717.3</v>
      </c>
      <c r="H116">
        <f t="shared" si="3"/>
        <v>1.3411078717200375E-3</v>
      </c>
    </row>
    <row r="117" spans="2:8" x14ac:dyDescent="0.35">
      <c r="B117" s="74">
        <v>44601</v>
      </c>
      <c r="C117">
        <v>17463.8</v>
      </c>
      <c r="D117" s="64">
        <f t="shared" si="2"/>
        <v>1.1412107084425305E-2</v>
      </c>
      <c r="F117" s="74">
        <v>44601</v>
      </c>
      <c r="G117" s="40">
        <v>1737.3</v>
      </c>
      <c r="H117">
        <f t="shared" si="3"/>
        <v>1.1646188784720124E-2</v>
      </c>
    </row>
    <row r="118" spans="2:8" x14ac:dyDescent="0.35">
      <c r="B118" s="74">
        <v>44602</v>
      </c>
      <c r="C118">
        <v>17605.849999999999</v>
      </c>
      <c r="D118" s="64">
        <f t="shared" si="2"/>
        <v>8.1339685520904759E-3</v>
      </c>
      <c r="F118" s="74">
        <v>44602</v>
      </c>
      <c r="G118" s="40">
        <v>1769.6</v>
      </c>
      <c r="H118">
        <f t="shared" si="3"/>
        <v>1.8592068151729757E-2</v>
      </c>
    </row>
    <row r="119" spans="2:8" x14ac:dyDescent="0.35">
      <c r="B119" s="74">
        <v>44603</v>
      </c>
      <c r="C119">
        <v>17374.75</v>
      </c>
      <c r="D119" s="64">
        <f t="shared" si="2"/>
        <v>-1.3126318808804993E-2</v>
      </c>
      <c r="F119" s="74">
        <v>44603</v>
      </c>
      <c r="G119" s="40">
        <v>1721.35</v>
      </c>
      <c r="H119">
        <f t="shared" si="3"/>
        <v>-2.7266048824593159E-2</v>
      </c>
    </row>
    <row r="120" spans="2:8" x14ac:dyDescent="0.35">
      <c r="B120" s="74">
        <v>44606</v>
      </c>
      <c r="C120">
        <v>16842.8</v>
      </c>
      <c r="D120" s="64">
        <f t="shared" si="2"/>
        <v>-3.0616267859969293E-2</v>
      </c>
      <c r="F120" s="74">
        <v>44606</v>
      </c>
      <c r="G120" s="40">
        <v>1682.2</v>
      </c>
      <c r="H120">
        <f t="shared" si="3"/>
        <v>-2.2743776686902639E-2</v>
      </c>
    </row>
    <row r="121" spans="2:8" x14ac:dyDescent="0.35">
      <c r="B121" s="74">
        <v>44607</v>
      </c>
      <c r="C121">
        <v>17352.45</v>
      </c>
      <c r="D121" s="64">
        <f t="shared" si="2"/>
        <v>3.0259220557152133E-2</v>
      </c>
      <c r="F121" s="74">
        <v>44607</v>
      </c>
      <c r="G121" s="40">
        <v>1738.25</v>
      </c>
      <c r="H121">
        <f t="shared" si="3"/>
        <v>3.3319462608488948E-2</v>
      </c>
    </row>
    <row r="122" spans="2:8" x14ac:dyDescent="0.35">
      <c r="B122" s="74">
        <v>44608</v>
      </c>
      <c r="C122">
        <v>17322.2</v>
      </c>
      <c r="D122" s="64">
        <f t="shared" si="2"/>
        <v>-1.7432696823791449E-3</v>
      </c>
      <c r="F122" s="74">
        <v>44608</v>
      </c>
      <c r="G122" s="40">
        <v>1733.3</v>
      </c>
      <c r="H122">
        <f t="shared" si="3"/>
        <v>-2.8476916438947564E-3</v>
      </c>
    </row>
    <row r="123" spans="2:8" x14ac:dyDescent="0.35">
      <c r="B123" s="74">
        <v>44609</v>
      </c>
      <c r="C123">
        <v>17304.599999999999</v>
      </c>
      <c r="D123" s="64">
        <f t="shared" si="2"/>
        <v>-1.0160372239093052E-3</v>
      </c>
      <c r="F123" s="74">
        <v>44609</v>
      </c>
      <c r="G123" s="40">
        <v>1724.8</v>
      </c>
      <c r="H123">
        <f t="shared" si="3"/>
        <v>-4.9039404603934411E-3</v>
      </c>
    </row>
    <row r="124" spans="2:8" x14ac:dyDescent="0.35">
      <c r="B124" s="74">
        <v>44610</v>
      </c>
      <c r="C124">
        <v>17276.3</v>
      </c>
      <c r="D124" s="64">
        <f t="shared" si="2"/>
        <v>-1.6354033031679149E-3</v>
      </c>
      <c r="F124" s="74">
        <v>44610</v>
      </c>
      <c r="G124" s="40">
        <v>1706.95</v>
      </c>
      <c r="H124">
        <f t="shared" si="3"/>
        <v>-1.0349025974025872E-2</v>
      </c>
    </row>
    <row r="125" spans="2:8" x14ac:dyDescent="0.35">
      <c r="B125" s="74">
        <v>44613</v>
      </c>
      <c r="C125">
        <v>17206.650000000001</v>
      </c>
      <c r="D125" s="64">
        <f t="shared" si="2"/>
        <v>-4.0315345299628547E-3</v>
      </c>
      <c r="F125" s="74">
        <v>44613</v>
      </c>
      <c r="G125" s="40">
        <v>1730.7</v>
      </c>
      <c r="H125">
        <f t="shared" si="3"/>
        <v>1.3913705732446768E-2</v>
      </c>
    </row>
    <row r="126" spans="2:8" x14ac:dyDescent="0.35">
      <c r="B126" s="74">
        <v>44614</v>
      </c>
      <c r="C126">
        <v>17092.2</v>
      </c>
      <c r="D126" s="64">
        <f t="shared" si="2"/>
        <v>-6.651498112648313E-3</v>
      </c>
      <c r="F126" s="74">
        <v>44614</v>
      </c>
      <c r="G126" s="40">
        <v>1734.35</v>
      </c>
      <c r="H126">
        <f t="shared" si="3"/>
        <v>2.1089732478187795E-3</v>
      </c>
    </row>
    <row r="127" spans="2:8" x14ac:dyDescent="0.35">
      <c r="B127" s="74">
        <v>44615</v>
      </c>
      <c r="C127">
        <v>17063.25</v>
      </c>
      <c r="D127" s="64">
        <f t="shared" si="2"/>
        <v>-1.693755046161427E-3</v>
      </c>
      <c r="F127" s="74">
        <v>44615</v>
      </c>
      <c r="G127" s="40">
        <v>1742.85</v>
      </c>
      <c r="H127">
        <f t="shared" si="3"/>
        <v>4.9009715455357039E-3</v>
      </c>
    </row>
    <row r="128" spans="2:8" x14ac:dyDescent="0.35">
      <c r="B128" s="74">
        <v>44616</v>
      </c>
      <c r="C128">
        <v>16247.95</v>
      </c>
      <c r="D128" s="64">
        <f t="shared" si="2"/>
        <v>-4.7781049917219764E-2</v>
      </c>
      <c r="F128" s="74">
        <v>44616</v>
      </c>
      <c r="G128" s="40">
        <v>1678.15</v>
      </c>
      <c r="H128">
        <f t="shared" si="3"/>
        <v>-3.7123102963536603E-2</v>
      </c>
    </row>
    <row r="129" spans="2:8" x14ac:dyDescent="0.35">
      <c r="B129" s="74">
        <v>44617</v>
      </c>
      <c r="C129">
        <v>16658.400000000001</v>
      </c>
      <c r="D129" s="64">
        <f t="shared" si="2"/>
        <v>2.5261648392566505E-2</v>
      </c>
      <c r="F129" s="74">
        <v>44617</v>
      </c>
      <c r="G129" s="40">
        <v>1694.6</v>
      </c>
      <c r="H129">
        <f t="shared" si="3"/>
        <v>9.8024610434108705E-3</v>
      </c>
    </row>
    <row r="130" spans="2:8" x14ac:dyDescent="0.35">
      <c r="B130" s="74">
        <v>44620</v>
      </c>
      <c r="C130">
        <v>16793.900000000001</v>
      </c>
      <c r="D130" s="64">
        <f t="shared" si="2"/>
        <v>8.1340344811027254E-3</v>
      </c>
      <c r="F130" s="74">
        <v>44620</v>
      </c>
      <c r="G130" s="40">
        <v>1715.6</v>
      </c>
      <c r="H130">
        <f t="shared" si="3"/>
        <v>1.2392304968724233E-2</v>
      </c>
    </row>
    <row r="131" spans="2:8" x14ac:dyDescent="0.35">
      <c r="B131" s="74">
        <v>44622</v>
      </c>
      <c r="C131">
        <v>16605.95</v>
      </c>
      <c r="D131" s="64">
        <f t="shared" si="2"/>
        <v>-1.1191563603451304E-2</v>
      </c>
      <c r="F131" s="74">
        <v>44622</v>
      </c>
      <c r="G131" s="40">
        <v>1702.8</v>
      </c>
      <c r="H131">
        <f t="shared" si="3"/>
        <v>-7.4609466076007713E-3</v>
      </c>
    </row>
    <row r="132" spans="2:8" x14ac:dyDescent="0.35">
      <c r="B132" s="74">
        <v>44623</v>
      </c>
      <c r="C132">
        <v>16498.05</v>
      </c>
      <c r="D132" s="64">
        <f t="shared" si="2"/>
        <v>-6.4976710155095763E-3</v>
      </c>
      <c r="F132" s="74">
        <v>44623</v>
      </c>
      <c r="G132" s="40">
        <v>1720.85</v>
      </c>
      <c r="H132">
        <f t="shared" si="3"/>
        <v>1.0600187925769333E-2</v>
      </c>
    </row>
    <row r="133" spans="2:8" x14ac:dyDescent="0.35">
      <c r="B133" s="74">
        <v>44624</v>
      </c>
      <c r="C133">
        <v>16245.35</v>
      </c>
      <c r="D133" s="64">
        <f t="shared" si="2"/>
        <v>-1.5316961701534404E-2</v>
      </c>
      <c r="F133" s="74">
        <v>44624</v>
      </c>
      <c r="G133" s="40">
        <v>1723.3</v>
      </c>
      <c r="H133">
        <f t="shared" si="3"/>
        <v>1.4237150245517416E-3</v>
      </c>
    </row>
    <row r="134" spans="2:8" x14ac:dyDescent="0.35">
      <c r="B134" s="74">
        <v>44627</v>
      </c>
      <c r="C134">
        <v>15863.15</v>
      </c>
      <c r="D134" s="64">
        <f t="shared" si="2"/>
        <v>-2.3526732264925077E-2</v>
      </c>
      <c r="F134" s="74">
        <v>44627</v>
      </c>
      <c r="G134" s="40">
        <v>1739.85</v>
      </c>
      <c r="H134">
        <f t="shared" si="3"/>
        <v>9.603667382347858E-3</v>
      </c>
    </row>
    <row r="135" spans="2:8" x14ac:dyDescent="0.35">
      <c r="B135" s="74">
        <v>44628</v>
      </c>
      <c r="C135">
        <v>16013.45</v>
      </c>
      <c r="D135" s="64">
        <f t="shared" ref="D135:D198" si="4">C135/C134-1</f>
        <v>9.4747890551372116E-3</v>
      </c>
      <c r="F135" s="74">
        <v>44628</v>
      </c>
      <c r="G135" s="40">
        <v>1778.2</v>
      </c>
      <c r="H135">
        <f t="shared" ref="H135:H198" si="5">G135/G134-1</f>
        <v>2.2042130068684163E-2</v>
      </c>
    </row>
    <row r="136" spans="2:8" x14ac:dyDescent="0.35">
      <c r="B136" s="74">
        <v>44629</v>
      </c>
      <c r="C136">
        <v>16345.35</v>
      </c>
      <c r="D136" s="64">
        <f t="shared" si="4"/>
        <v>2.0726326931423289E-2</v>
      </c>
      <c r="F136" s="74">
        <v>44629</v>
      </c>
      <c r="G136" s="40">
        <v>1813.35</v>
      </c>
      <c r="H136">
        <f t="shared" si="5"/>
        <v>1.9767180294679942E-2</v>
      </c>
    </row>
    <row r="137" spans="2:8" x14ac:dyDescent="0.35">
      <c r="B137" s="74">
        <v>44630</v>
      </c>
      <c r="C137">
        <v>16594.900000000001</v>
      </c>
      <c r="D137" s="64">
        <f t="shared" si="4"/>
        <v>1.5267339029142901E-2</v>
      </c>
      <c r="F137" s="74">
        <v>44630</v>
      </c>
      <c r="G137" s="40">
        <v>1825.9</v>
      </c>
      <c r="H137">
        <f t="shared" si="5"/>
        <v>6.9208922712107324E-3</v>
      </c>
    </row>
    <row r="138" spans="2:8" x14ac:dyDescent="0.35">
      <c r="B138" s="74">
        <v>44631</v>
      </c>
      <c r="C138">
        <v>16630.45</v>
      </c>
      <c r="D138" s="64">
        <f t="shared" si="4"/>
        <v>2.1422244183453287E-3</v>
      </c>
      <c r="F138" s="74">
        <v>44631</v>
      </c>
      <c r="G138" s="40">
        <v>1822</v>
      </c>
      <c r="H138">
        <f t="shared" si="5"/>
        <v>-2.1359329645654901E-3</v>
      </c>
    </row>
    <row r="139" spans="2:8" x14ac:dyDescent="0.35">
      <c r="B139" s="74">
        <v>44634</v>
      </c>
      <c r="C139">
        <v>16871.3</v>
      </c>
      <c r="D139" s="64">
        <f t="shared" si="4"/>
        <v>1.4482470408196946E-2</v>
      </c>
      <c r="F139" s="74">
        <v>44634</v>
      </c>
      <c r="G139" s="40">
        <v>1890.7</v>
      </c>
      <c r="H139">
        <f t="shared" si="5"/>
        <v>3.7705817782656359E-2</v>
      </c>
    </row>
    <row r="140" spans="2:8" x14ac:dyDescent="0.35">
      <c r="B140" s="74">
        <v>44635</v>
      </c>
      <c r="C140">
        <v>16663</v>
      </c>
      <c r="D140" s="64">
        <f t="shared" si="4"/>
        <v>-1.2346410768583338E-2</v>
      </c>
      <c r="F140" s="74">
        <v>44635</v>
      </c>
      <c r="G140" s="40">
        <v>1839.3</v>
      </c>
      <c r="H140">
        <f t="shared" si="5"/>
        <v>-2.718569841857521E-2</v>
      </c>
    </row>
    <row r="141" spans="2:8" x14ac:dyDescent="0.35">
      <c r="B141" s="74">
        <v>44636</v>
      </c>
      <c r="C141">
        <v>16975.349999999999</v>
      </c>
      <c r="D141" s="64">
        <f t="shared" si="4"/>
        <v>1.8745123927264018E-2</v>
      </c>
      <c r="F141" s="74">
        <v>44636</v>
      </c>
      <c r="G141" s="40">
        <v>1889.4</v>
      </c>
      <c r="H141">
        <f t="shared" si="5"/>
        <v>2.7238623389332917E-2</v>
      </c>
    </row>
    <row r="142" spans="2:8" x14ac:dyDescent="0.35">
      <c r="B142" s="74">
        <v>44637</v>
      </c>
      <c r="C142">
        <v>17287.05</v>
      </c>
      <c r="D142" s="64">
        <f t="shared" si="4"/>
        <v>1.8361918900052121E-2</v>
      </c>
      <c r="F142" s="74">
        <v>44637</v>
      </c>
      <c r="G142" s="40">
        <v>1854.6</v>
      </c>
      <c r="H142">
        <f t="shared" si="5"/>
        <v>-1.8418545570022316E-2</v>
      </c>
    </row>
    <row r="143" spans="2:8" x14ac:dyDescent="0.35">
      <c r="B143" s="74">
        <v>44641</v>
      </c>
      <c r="C143">
        <v>17117.599999999999</v>
      </c>
      <c r="D143" s="64">
        <f t="shared" si="4"/>
        <v>-9.8021351242694177E-3</v>
      </c>
      <c r="F143" s="74">
        <v>44641</v>
      </c>
      <c r="G143" s="40">
        <v>1853.05</v>
      </c>
      <c r="H143">
        <f t="shared" si="5"/>
        <v>-8.3575973255689551E-4</v>
      </c>
    </row>
    <row r="144" spans="2:8" x14ac:dyDescent="0.35">
      <c r="B144" s="74">
        <v>44642</v>
      </c>
      <c r="C144">
        <v>17315.5</v>
      </c>
      <c r="D144" s="64">
        <f t="shared" si="4"/>
        <v>1.1561200168247909E-2</v>
      </c>
      <c r="F144" s="74">
        <v>44642</v>
      </c>
      <c r="G144" s="40">
        <v>1887.4</v>
      </c>
      <c r="H144">
        <f t="shared" si="5"/>
        <v>1.8537006556757829E-2</v>
      </c>
    </row>
    <row r="145" spans="2:8" x14ac:dyDescent="0.35">
      <c r="B145" s="74">
        <v>44643</v>
      </c>
      <c r="C145">
        <v>17245.650000000001</v>
      </c>
      <c r="D145" s="64">
        <f t="shared" si="4"/>
        <v>-4.0339580144955756E-3</v>
      </c>
      <c r="F145" s="74">
        <v>44643</v>
      </c>
      <c r="G145" s="40">
        <v>1872.4</v>
      </c>
      <c r="H145">
        <f t="shared" si="5"/>
        <v>-7.947440924022442E-3</v>
      </c>
    </row>
    <row r="146" spans="2:8" x14ac:dyDescent="0.35">
      <c r="B146" s="74">
        <v>44644</v>
      </c>
      <c r="C146">
        <v>17222.75</v>
      </c>
      <c r="D146" s="64">
        <f t="shared" si="4"/>
        <v>-1.3278710863320331E-3</v>
      </c>
      <c r="F146" s="74">
        <v>44644</v>
      </c>
      <c r="G146" s="40">
        <v>1886.7</v>
      </c>
      <c r="H146">
        <f t="shared" si="5"/>
        <v>7.6372569963683024E-3</v>
      </c>
    </row>
    <row r="147" spans="2:8" x14ac:dyDescent="0.35">
      <c r="B147" s="74">
        <v>44645</v>
      </c>
      <c r="C147">
        <v>17153</v>
      </c>
      <c r="D147" s="64">
        <f t="shared" si="4"/>
        <v>-4.049875890900112E-3</v>
      </c>
      <c r="F147" s="74">
        <v>44645</v>
      </c>
      <c r="G147" s="40">
        <v>1876.55</v>
      </c>
      <c r="H147">
        <f t="shared" si="5"/>
        <v>-5.3797636084168543E-3</v>
      </c>
    </row>
    <row r="148" spans="2:8" x14ac:dyDescent="0.35">
      <c r="B148" s="74">
        <v>44648</v>
      </c>
      <c r="C148">
        <v>17222</v>
      </c>
      <c r="D148" s="64">
        <f t="shared" si="4"/>
        <v>4.0226199498629711E-3</v>
      </c>
      <c r="F148" s="74">
        <v>44648</v>
      </c>
      <c r="G148" s="40">
        <v>1873.9</v>
      </c>
      <c r="H148">
        <f t="shared" si="5"/>
        <v>-1.4121659428205646E-3</v>
      </c>
    </row>
    <row r="149" spans="2:8" x14ac:dyDescent="0.35">
      <c r="B149" s="74">
        <v>44649</v>
      </c>
      <c r="C149">
        <v>17325.3</v>
      </c>
      <c r="D149" s="64">
        <f t="shared" si="4"/>
        <v>5.9981419115084922E-3</v>
      </c>
      <c r="F149" s="74">
        <v>44649</v>
      </c>
      <c r="G149" s="40">
        <v>1886</v>
      </c>
      <c r="H149">
        <f t="shared" si="5"/>
        <v>6.4571215112865232E-3</v>
      </c>
    </row>
    <row r="150" spans="2:8" x14ac:dyDescent="0.35">
      <c r="B150" s="74">
        <v>44650</v>
      </c>
      <c r="C150">
        <v>17498.25</v>
      </c>
      <c r="D150" s="64">
        <f t="shared" si="4"/>
        <v>9.9825111253484256E-3</v>
      </c>
      <c r="F150" s="74">
        <v>44650</v>
      </c>
      <c r="G150" s="40">
        <v>1903.95</v>
      </c>
      <c r="H150">
        <f t="shared" si="5"/>
        <v>9.5174973488865167E-3</v>
      </c>
    </row>
    <row r="151" spans="2:8" x14ac:dyDescent="0.35">
      <c r="B151" s="74">
        <v>44651</v>
      </c>
      <c r="C151">
        <v>17464.75</v>
      </c>
      <c r="D151" s="64">
        <f t="shared" si="4"/>
        <v>-1.9144771620018819E-3</v>
      </c>
      <c r="F151" s="74">
        <v>44651</v>
      </c>
      <c r="G151" s="40">
        <v>1906.85</v>
      </c>
      <c r="H151">
        <f t="shared" si="5"/>
        <v>1.5231492423644077E-3</v>
      </c>
    </row>
    <row r="152" spans="2:8" x14ac:dyDescent="0.35">
      <c r="B152" s="74">
        <v>44652</v>
      </c>
      <c r="C152">
        <v>17670.45</v>
      </c>
      <c r="D152" s="64">
        <f t="shared" si="4"/>
        <v>1.1778009991554539E-2</v>
      </c>
      <c r="F152" s="74">
        <v>44652</v>
      </c>
      <c r="G152" s="40">
        <v>1903.55</v>
      </c>
      <c r="H152">
        <f t="shared" si="5"/>
        <v>-1.730602826651273E-3</v>
      </c>
    </row>
    <row r="153" spans="2:8" x14ac:dyDescent="0.35">
      <c r="B153" s="74">
        <v>44655</v>
      </c>
      <c r="C153">
        <v>18053.400000000001</v>
      </c>
      <c r="D153" s="64">
        <f t="shared" si="4"/>
        <v>2.1671774063478866E-2</v>
      </c>
      <c r="F153" s="74">
        <v>44655</v>
      </c>
      <c r="G153" s="40">
        <v>1882.95</v>
      </c>
      <c r="H153">
        <f t="shared" si="5"/>
        <v>-1.0821885424601385E-2</v>
      </c>
    </row>
    <row r="154" spans="2:8" x14ac:dyDescent="0.35">
      <c r="B154" s="74">
        <v>44656</v>
      </c>
      <c r="C154">
        <v>17957.400000000001</v>
      </c>
      <c r="D154" s="64">
        <f t="shared" si="4"/>
        <v>-5.3175579115291027E-3</v>
      </c>
      <c r="F154" s="74">
        <v>44656</v>
      </c>
      <c r="G154" s="40">
        <v>1861.1</v>
      </c>
      <c r="H154">
        <f t="shared" si="5"/>
        <v>-1.1604131814440199E-2</v>
      </c>
    </row>
    <row r="155" spans="2:8" x14ac:dyDescent="0.35">
      <c r="B155" s="74">
        <v>44657</v>
      </c>
      <c r="C155">
        <v>17807.650000000001</v>
      </c>
      <c r="D155" s="64">
        <f t="shared" si="4"/>
        <v>-8.3391805049728429E-3</v>
      </c>
      <c r="F155" s="74">
        <v>44657</v>
      </c>
      <c r="G155" s="40">
        <v>1828.85</v>
      </c>
      <c r="H155">
        <f t="shared" si="5"/>
        <v>-1.7328461662457717E-2</v>
      </c>
    </row>
    <row r="156" spans="2:8" x14ac:dyDescent="0.35">
      <c r="B156" s="74">
        <v>44658</v>
      </c>
      <c r="C156">
        <v>17639.55</v>
      </c>
      <c r="D156" s="64">
        <f t="shared" si="4"/>
        <v>-9.4397632478178117E-3</v>
      </c>
      <c r="F156" s="74">
        <v>44658</v>
      </c>
      <c r="G156" s="40">
        <v>1811</v>
      </c>
      <c r="H156">
        <f t="shared" si="5"/>
        <v>-9.7602318396806664E-3</v>
      </c>
    </row>
    <row r="157" spans="2:8" x14ac:dyDescent="0.35">
      <c r="B157" s="74">
        <v>44659</v>
      </c>
      <c r="C157">
        <v>17784.349999999999</v>
      </c>
      <c r="D157" s="64">
        <f t="shared" si="4"/>
        <v>8.208826188876639E-3</v>
      </c>
      <c r="F157" s="74">
        <v>44659</v>
      </c>
      <c r="G157" s="40">
        <v>1814.6</v>
      </c>
      <c r="H157">
        <f t="shared" si="5"/>
        <v>1.9878520154610335E-3</v>
      </c>
    </row>
    <row r="158" spans="2:8" x14ac:dyDescent="0.35">
      <c r="B158" s="74">
        <v>44662</v>
      </c>
      <c r="C158">
        <v>17674.95</v>
      </c>
      <c r="D158" s="64">
        <f t="shared" si="4"/>
        <v>-6.1514758762618582E-3</v>
      </c>
      <c r="F158" s="74">
        <v>44662</v>
      </c>
      <c r="G158" s="40">
        <v>1766.55</v>
      </c>
      <c r="H158">
        <f t="shared" si="5"/>
        <v>-2.6479664939931591E-2</v>
      </c>
    </row>
    <row r="159" spans="2:8" x14ac:dyDescent="0.35">
      <c r="B159" s="74">
        <v>44663</v>
      </c>
      <c r="C159">
        <v>17530.3</v>
      </c>
      <c r="D159" s="64">
        <f t="shared" si="4"/>
        <v>-8.1838986814674053E-3</v>
      </c>
      <c r="F159" s="74">
        <v>44663</v>
      </c>
      <c r="G159" s="40">
        <v>1742.45</v>
      </c>
      <c r="H159">
        <f t="shared" si="5"/>
        <v>-1.3642410347853073E-2</v>
      </c>
    </row>
    <row r="160" spans="2:8" x14ac:dyDescent="0.35">
      <c r="B160" s="74">
        <v>44664</v>
      </c>
      <c r="C160">
        <v>17475.650000000001</v>
      </c>
      <c r="D160" s="64">
        <f t="shared" si="4"/>
        <v>-3.1174594844354253E-3</v>
      </c>
      <c r="F160" s="74">
        <v>44664</v>
      </c>
      <c r="G160" s="40">
        <v>1748.55</v>
      </c>
      <c r="H160">
        <f t="shared" si="5"/>
        <v>3.5008178139974699E-3</v>
      </c>
    </row>
    <row r="161" spans="2:8" x14ac:dyDescent="0.35">
      <c r="B161" s="74">
        <v>44669</v>
      </c>
      <c r="C161">
        <v>17173.650000000001</v>
      </c>
      <c r="D161" s="64">
        <f t="shared" si="4"/>
        <v>-1.7281188396425895E-2</v>
      </c>
      <c r="F161" s="74">
        <v>44669</v>
      </c>
      <c r="G161" s="40">
        <v>1621.4</v>
      </c>
      <c r="H161">
        <f t="shared" si="5"/>
        <v>-7.2717394412513126E-2</v>
      </c>
    </row>
    <row r="162" spans="2:8" x14ac:dyDescent="0.35">
      <c r="B162" s="74">
        <v>44670</v>
      </c>
      <c r="C162">
        <v>16958.650000000001</v>
      </c>
      <c r="D162" s="64">
        <f t="shared" si="4"/>
        <v>-1.251917909122402E-2</v>
      </c>
      <c r="F162" s="74">
        <v>44670</v>
      </c>
      <c r="G162" s="40">
        <v>1562</v>
      </c>
      <c r="H162">
        <f t="shared" si="5"/>
        <v>-3.6635006784260571E-2</v>
      </c>
    </row>
    <row r="163" spans="2:8" x14ac:dyDescent="0.35">
      <c r="B163" s="74">
        <v>44671</v>
      </c>
      <c r="C163">
        <v>17136.55</v>
      </c>
      <c r="D163" s="64">
        <f t="shared" si="4"/>
        <v>1.0490221804211775E-2</v>
      </c>
      <c r="F163" s="74">
        <v>44671</v>
      </c>
      <c r="G163" s="40">
        <v>1587.7</v>
      </c>
      <c r="H163">
        <f t="shared" si="5"/>
        <v>1.6453265044814369E-2</v>
      </c>
    </row>
    <row r="164" spans="2:8" x14ac:dyDescent="0.35">
      <c r="B164" s="74">
        <v>44672</v>
      </c>
      <c r="C164">
        <v>17392.599999999999</v>
      </c>
      <c r="D164" s="64">
        <f t="shared" si="4"/>
        <v>1.4941747317867238E-2</v>
      </c>
      <c r="F164" s="74">
        <v>44672</v>
      </c>
      <c r="G164" s="40">
        <v>1618.8</v>
      </c>
      <c r="H164">
        <f t="shared" si="5"/>
        <v>1.9588083391068878E-2</v>
      </c>
    </row>
    <row r="165" spans="2:8" x14ac:dyDescent="0.35">
      <c r="B165" s="74">
        <v>44673</v>
      </c>
      <c r="C165">
        <v>17171.95</v>
      </c>
      <c r="D165" s="64">
        <f t="shared" si="4"/>
        <v>-1.2686429860975235E-2</v>
      </c>
      <c r="F165" s="74">
        <v>44673</v>
      </c>
      <c r="G165" s="40">
        <v>1585.45</v>
      </c>
      <c r="H165">
        <f t="shared" si="5"/>
        <v>-2.0601680256980393E-2</v>
      </c>
    </row>
    <row r="166" spans="2:8" x14ac:dyDescent="0.35">
      <c r="B166" s="74">
        <v>44676</v>
      </c>
      <c r="C166">
        <v>16953.95</v>
      </c>
      <c r="D166" s="64">
        <f t="shared" si="4"/>
        <v>-1.2695121986728397E-2</v>
      </c>
      <c r="F166" s="74">
        <v>44676</v>
      </c>
      <c r="G166" s="40">
        <v>1561.1</v>
      </c>
      <c r="H166">
        <f t="shared" si="5"/>
        <v>-1.5358415591787855E-2</v>
      </c>
    </row>
    <row r="167" spans="2:8" x14ac:dyDescent="0.35">
      <c r="B167" s="74">
        <v>44677</v>
      </c>
      <c r="C167">
        <v>17200.8</v>
      </c>
      <c r="D167" s="64">
        <f t="shared" si="4"/>
        <v>1.4560028783852541E-2</v>
      </c>
      <c r="F167" s="74">
        <v>44677</v>
      </c>
      <c r="G167" s="40">
        <v>1581</v>
      </c>
      <c r="H167">
        <f t="shared" si="5"/>
        <v>1.2747421689834226E-2</v>
      </c>
    </row>
    <row r="168" spans="2:8" x14ac:dyDescent="0.35">
      <c r="B168" s="74">
        <v>44678</v>
      </c>
      <c r="C168">
        <v>17038.400000000001</v>
      </c>
      <c r="D168" s="64">
        <f t="shared" si="4"/>
        <v>-9.4414213292404181E-3</v>
      </c>
      <c r="F168" s="74">
        <v>44678</v>
      </c>
      <c r="G168" s="40">
        <v>1552.8</v>
      </c>
      <c r="H168">
        <f t="shared" si="5"/>
        <v>-1.783681214421251E-2</v>
      </c>
    </row>
    <row r="169" spans="2:8" x14ac:dyDescent="0.35">
      <c r="B169" s="74">
        <v>44679</v>
      </c>
      <c r="C169">
        <v>17245.05</v>
      </c>
      <c r="D169" s="64">
        <f t="shared" si="4"/>
        <v>1.2128486242839465E-2</v>
      </c>
      <c r="F169" s="74">
        <v>44679</v>
      </c>
      <c r="G169" s="40">
        <v>1582.6</v>
      </c>
      <c r="H169">
        <f t="shared" si="5"/>
        <v>1.9191138588356527E-2</v>
      </c>
    </row>
    <row r="170" spans="2:8" x14ac:dyDescent="0.35">
      <c r="B170" s="74">
        <v>44680</v>
      </c>
      <c r="C170">
        <v>17102.55</v>
      </c>
      <c r="D170" s="64">
        <f t="shared" si="4"/>
        <v>-8.263240756043011E-3</v>
      </c>
      <c r="F170" s="74">
        <v>44680</v>
      </c>
      <c r="G170" s="40">
        <v>1567.55</v>
      </c>
      <c r="H170">
        <f t="shared" si="5"/>
        <v>-9.5096676355364007E-3</v>
      </c>
    </row>
    <row r="171" spans="2:8" x14ac:dyDescent="0.35">
      <c r="B171" s="74">
        <v>44683</v>
      </c>
      <c r="C171">
        <v>17069.099999999999</v>
      </c>
      <c r="D171" s="64">
        <f t="shared" si="4"/>
        <v>-1.9558486892305993E-3</v>
      </c>
      <c r="F171" s="74">
        <v>44683</v>
      </c>
      <c r="G171" s="40">
        <v>1541</v>
      </c>
      <c r="H171">
        <f t="shared" si="5"/>
        <v>-1.6937258779624265E-2</v>
      </c>
    </row>
    <row r="172" spans="2:8" x14ac:dyDescent="0.35">
      <c r="B172" s="74">
        <v>44685</v>
      </c>
      <c r="C172">
        <v>16677.599999999999</v>
      </c>
      <c r="D172" s="64">
        <f t="shared" si="4"/>
        <v>-2.293618292704358E-2</v>
      </c>
      <c r="F172" s="74">
        <v>44685</v>
      </c>
      <c r="G172" s="40">
        <v>1535.55</v>
      </c>
      <c r="H172">
        <f t="shared" si="5"/>
        <v>-3.5366645035691535E-3</v>
      </c>
    </row>
    <row r="173" spans="2:8" x14ac:dyDescent="0.35">
      <c r="B173" s="74">
        <v>44686</v>
      </c>
      <c r="C173">
        <v>16682.650000000001</v>
      </c>
      <c r="D173" s="64">
        <f t="shared" si="4"/>
        <v>3.0280136230653731E-4</v>
      </c>
      <c r="F173" s="74">
        <v>44686</v>
      </c>
      <c r="G173" s="40">
        <v>1585.15</v>
      </c>
      <c r="H173">
        <f t="shared" si="5"/>
        <v>3.2301129888313795E-2</v>
      </c>
    </row>
    <row r="174" spans="2:8" x14ac:dyDescent="0.35">
      <c r="B174" s="74">
        <v>44687</v>
      </c>
      <c r="C174">
        <v>16411.25</v>
      </c>
      <c r="D174" s="64">
        <f t="shared" si="4"/>
        <v>-1.6268398605737144E-2</v>
      </c>
      <c r="F174" s="74">
        <v>44687</v>
      </c>
      <c r="G174" s="40">
        <v>1542.85</v>
      </c>
      <c r="H174">
        <f t="shared" si="5"/>
        <v>-2.6685171750307601E-2</v>
      </c>
    </row>
    <row r="175" spans="2:8" x14ac:dyDescent="0.35">
      <c r="B175" s="74">
        <v>44690</v>
      </c>
      <c r="C175">
        <v>16301.85</v>
      </c>
      <c r="D175" s="64">
        <f t="shared" si="4"/>
        <v>-6.6661588849112885E-3</v>
      </c>
      <c r="F175" s="74">
        <v>44690</v>
      </c>
      <c r="G175" s="40">
        <v>1570.35</v>
      </c>
      <c r="H175">
        <f t="shared" si="5"/>
        <v>1.7824156593317486E-2</v>
      </c>
    </row>
    <row r="176" spans="2:8" x14ac:dyDescent="0.35">
      <c r="B176" s="74">
        <v>44691</v>
      </c>
      <c r="C176">
        <v>16240.05</v>
      </c>
      <c r="D176" s="64">
        <f t="shared" si="4"/>
        <v>-3.7909807782553484E-3</v>
      </c>
      <c r="F176" s="74">
        <v>44691</v>
      </c>
      <c r="G176" s="40">
        <v>1553</v>
      </c>
      <c r="H176">
        <f t="shared" si="5"/>
        <v>-1.1048492374311381E-2</v>
      </c>
    </row>
    <row r="177" spans="2:8" x14ac:dyDescent="0.35">
      <c r="B177" s="74">
        <v>44692</v>
      </c>
      <c r="C177">
        <v>16167.1</v>
      </c>
      <c r="D177" s="64">
        <f t="shared" si="4"/>
        <v>-4.4919812439000451E-3</v>
      </c>
      <c r="F177" s="74">
        <v>44692</v>
      </c>
      <c r="G177" s="40">
        <v>1526.75</v>
      </c>
      <c r="H177">
        <f t="shared" si="5"/>
        <v>-1.6902768834513804E-2</v>
      </c>
    </row>
    <row r="178" spans="2:8" x14ac:dyDescent="0.35">
      <c r="B178" s="74">
        <v>44693</v>
      </c>
      <c r="C178">
        <v>15808</v>
      </c>
      <c r="D178" s="64">
        <f t="shared" si="4"/>
        <v>-2.2211775766835085E-2</v>
      </c>
      <c r="F178" s="74">
        <v>44693</v>
      </c>
      <c r="G178" s="40">
        <v>1508.8</v>
      </c>
      <c r="H178">
        <f t="shared" si="5"/>
        <v>-1.1757000163746589E-2</v>
      </c>
    </row>
    <row r="179" spans="2:8" x14ac:dyDescent="0.35">
      <c r="B179" s="74">
        <v>44694</v>
      </c>
      <c r="C179">
        <v>15782.15</v>
      </c>
      <c r="D179" s="64">
        <f t="shared" si="4"/>
        <v>-1.6352479757085758E-3</v>
      </c>
      <c r="F179" s="74">
        <v>44694</v>
      </c>
      <c r="G179" s="40">
        <v>1504.4</v>
      </c>
      <c r="H179">
        <f t="shared" si="5"/>
        <v>-2.9162248144219971E-3</v>
      </c>
    </row>
    <row r="180" spans="2:8" x14ac:dyDescent="0.35">
      <c r="B180" s="74">
        <v>44697</v>
      </c>
      <c r="C180">
        <v>15842.3</v>
      </c>
      <c r="D180" s="64">
        <f t="shared" si="4"/>
        <v>3.811267793044637E-3</v>
      </c>
      <c r="F180" s="74">
        <v>44697</v>
      </c>
      <c r="G180" s="40">
        <v>1489.1</v>
      </c>
      <c r="H180">
        <f t="shared" si="5"/>
        <v>-1.0170167508641414E-2</v>
      </c>
    </row>
    <row r="181" spans="2:8" x14ac:dyDescent="0.35">
      <c r="B181" s="74">
        <v>44698</v>
      </c>
      <c r="C181">
        <v>16259.3</v>
      </c>
      <c r="D181" s="64">
        <f t="shared" si="4"/>
        <v>2.6321935577536149E-2</v>
      </c>
      <c r="F181" s="74">
        <v>44698</v>
      </c>
      <c r="G181" s="40">
        <v>1518.45</v>
      </c>
      <c r="H181">
        <f t="shared" si="5"/>
        <v>1.970989188100214E-2</v>
      </c>
    </row>
    <row r="182" spans="2:8" x14ac:dyDescent="0.35">
      <c r="B182" s="74">
        <v>44699</v>
      </c>
      <c r="C182">
        <v>16240.3</v>
      </c>
      <c r="D182" s="64">
        <f t="shared" si="4"/>
        <v>-1.1685619922137125E-3</v>
      </c>
      <c r="F182" s="74">
        <v>44699</v>
      </c>
      <c r="G182" s="40">
        <v>1509.2</v>
      </c>
      <c r="H182">
        <f t="shared" si="5"/>
        <v>-6.0917382857519353E-3</v>
      </c>
    </row>
    <row r="183" spans="2:8" x14ac:dyDescent="0.35">
      <c r="B183" s="74">
        <v>44700</v>
      </c>
      <c r="C183">
        <v>15809.4</v>
      </c>
      <c r="D183" s="64">
        <f t="shared" si="4"/>
        <v>-2.6532761094314794E-2</v>
      </c>
      <c r="F183" s="74">
        <v>44700</v>
      </c>
      <c r="G183" s="40">
        <v>1427.15</v>
      </c>
      <c r="H183">
        <f t="shared" si="5"/>
        <v>-5.4366551815531405E-2</v>
      </c>
    </row>
    <row r="184" spans="2:8" x14ac:dyDescent="0.35">
      <c r="B184" s="74">
        <v>44701</v>
      </c>
      <c r="C184">
        <v>16266.15</v>
      </c>
      <c r="D184" s="64">
        <f t="shared" si="4"/>
        <v>2.8891039508140759E-2</v>
      </c>
      <c r="F184" s="74">
        <v>44701</v>
      </c>
      <c r="G184" s="40">
        <v>1455.15</v>
      </c>
      <c r="H184">
        <f t="shared" si="5"/>
        <v>1.9619521423816622E-2</v>
      </c>
    </row>
    <row r="185" spans="2:8" x14ac:dyDescent="0.35">
      <c r="B185" s="74">
        <v>44704</v>
      </c>
      <c r="C185">
        <v>16214.7</v>
      </c>
      <c r="D185" s="64">
        <f t="shared" si="4"/>
        <v>-3.1630103005320098E-3</v>
      </c>
      <c r="F185" s="74">
        <v>44704</v>
      </c>
      <c r="G185" s="40">
        <v>1468.4</v>
      </c>
      <c r="H185">
        <f t="shared" si="5"/>
        <v>9.105590488952986E-3</v>
      </c>
    </row>
    <row r="186" spans="2:8" x14ac:dyDescent="0.35">
      <c r="B186" s="74">
        <v>44705</v>
      </c>
      <c r="C186">
        <v>16125.15</v>
      </c>
      <c r="D186" s="64">
        <f t="shared" si="4"/>
        <v>-5.5227663786564518E-3</v>
      </c>
      <c r="F186" s="74">
        <v>44705</v>
      </c>
      <c r="G186" s="40">
        <v>1441</v>
      </c>
      <c r="H186">
        <f t="shared" si="5"/>
        <v>-1.8659765731408373E-2</v>
      </c>
    </row>
    <row r="187" spans="2:8" x14ac:dyDescent="0.35">
      <c r="B187" s="74">
        <v>44706</v>
      </c>
      <c r="C187">
        <v>16025.8</v>
      </c>
      <c r="D187" s="64">
        <f t="shared" si="4"/>
        <v>-6.1611829967473941E-3</v>
      </c>
      <c r="F187" s="74">
        <v>44706</v>
      </c>
      <c r="G187" s="40">
        <v>1410.45</v>
      </c>
      <c r="H187">
        <f t="shared" si="5"/>
        <v>-2.1200555170020841E-2</v>
      </c>
    </row>
    <row r="188" spans="2:8" x14ac:dyDescent="0.35">
      <c r="B188" s="74">
        <v>44707</v>
      </c>
      <c r="C188">
        <v>16170.15</v>
      </c>
      <c r="D188" s="64">
        <f t="shared" si="4"/>
        <v>9.0073506470815801E-3</v>
      </c>
      <c r="F188" s="74">
        <v>44707</v>
      </c>
      <c r="G188" s="40">
        <v>1423.95</v>
      </c>
      <c r="H188">
        <f t="shared" si="5"/>
        <v>9.5714133787088151E-3</v>
      </c>
    </row>
    <row r="189" spans="2:8" x14ac:dyDescent="0.35">
      <c r="B189" s="74">
        <v>44708</v>
      </c>
      <c r="C189">
        <v>16352.45</v>
      </c>
      <c r="D189" s="64">
        <f t="shared" si="4"/>
        <v>1.1273859549849607E-2</v>
      </c>
      <c r="F189" s="74">
        <v>44708</v>
      </c>
      <c r="G189" s="40">
        <v>1461.35</v>
      </c>
      <c r="H189">
        <f t="shared" si="5"/>
        <v>2.6264967168790898E-2</v>
      </c>
    </row>
    <row r="190" spans="2:8" x14ac:dyDescent="0.35">
      <c r="B190" s="74">
        <v>44711</v>
      </c>
      <c r="C190">
        <v>16661.400000000001</v>
      </c>
      <c r="D190" s="64">
        <f t="shared" si="4"/>
        <v>1.8893193374693196E-2</v>
      </c>
      <c r="F190" s="74">
        <v>44711</v>
      </c>
      <c r="G190" s="40">
        <v>1526.8</v>
      </c>
      <c r="H190">
        <f t="shared" si="5"/>
        <v>4.4787354158825732E-2</v>
      </c>
    </row>
    <row r="191" spans="2:8" x14ac:dyDescent="0.35">
      <c r="B191" s="74">
        <v>44712</v>
      </c>
      <c r="C191">
        <v>16584.55</v>
      </c>
      <c r="D191" s="64">
        <f t="shared" si="4"/>
        <v>-4.6124575365816822E-3</v>
      </c>
      <c r="F191" s="74">
        <v>44712</v>
      </c>
      <c r="G191" s="40">
        <v>1503.6</v>
      </c>
      <c r="H191">
        <f t="shared" si="5"/>
        <v>-1.5195179460309127E-2</v>
      </c>
    </row>
    <row r="192" spans="2:8" x14ac:dyDescent="0.35">
      <c r="B192" s="74">
        <v>44713</v>
      </c>
      <c r="C192">
        <v>16522.75</v>
      </c>
      <c r="D192" s="64">
        <f t="shared" si="4"/>
        <v>-3.7263597746094446E-3</v>
      </c>
      <c r="F192" s="74">
        <v>44713</v>
      </c>
      <c r="G192" s="40">
        <v>1478.55</v>
      </c>
      <c r="H192">
        <f t="shared" si="5"/>
        <v>-1.6660015961691865E-2</v>
      </c>
    </row>
    <row r="193" spans="2:8" x14ac:dyDescent="0.35">
      <c r="B193" s="74">
        <v>44714</v>
      </c>
      <c r="C193">
        <v>16628</v>
      </c>
      <c r="D193" s="64">
        <f t="shared" si="4"/>
        <v>6.3700049931154634E-3</v>
      </c>
      <c r="F193" s="74">
        <v>44714</v>
      </c>
      <c r="G193" s="40">
        <v>1508</v>
      </c>
      <c r="H193">
        <f t="shared" si="5"/>
        <v>1.9918163065165251E-2</v>
      </c>
    </row>
    <row r="194" spans="2:8" x14ac:dyDescent="0.35">
      <c r="B194" s="74">
        <v>44715</v>
      </c>
      <c r="C194">
        <v>16584.3</v>
      </c>
      <c r="D194" s="64">
        <f t="shared" si="4"/>
        <v>-2.6280971854703017E-3</v>
      </c>
      <c r="F194" s="74">
        <v>44715</v>
      </c>
      <c r="G194" s="40">
        <v>1521.7</v>
      </c>
      <c r="H194">
        <f t="shared" si="5"/>
        <v>9.0848806366048418E-3</v>
      </c>
    </row>
    <row r="195" spans="2:8" x14ac:dyDescent="0.35">
      <c r="B195" s="74">
        <v>44718</v>
      </c>
      <c r="C195">
        <v>16569.55</v>
      </c>
      <c r="D195" s="64">
        <f t="shared" si="4"/>
        <v>-8.8939539202737006E-4</v>
      </c>
      <c r="F195" s="74">
        <v>44718</v>
      </c>
      <c r="G195" s="40">
        <v>1530.05</v>
      </c>
      <c r="H195">
        <f t="shared" si="5"/>
        <v>5.4872839587303268E-3</v>
      </c>
    </row>
    <row r="196" spans="2:8" x14ac:dyDescent="0.35">
      <c r="B196" s="74">
        <v>44719</v>
      </c>
      <c r="C196">
        <v>16416.349999999999</v>
      </c>
      <c r="D196" s="64">
        <f t="shared" si="4"/>
        <v>-9.2458757178076612E-3</v>
      </c>
      <c r="F196" s="74">
        <v>44719</v>
      </c>
      <c r="G196" s="40">
        <v>1506.7</v>
      </c>
      <c r="H196">
        <f t="shared" si="5"/>
        <v>-1.5260939184993938E-2</v>
      </c>
    </row>
    <row r="197" spans="2:8" x14ac:dyDescent="0.35">
      <c r="B197" s="74">
        <v>44720</v>
      </c>
      <c r="C197">
        <v>16356.25</v>
      </c>
      <c r="D197" s="64">
        <f t="shared" si="4"/>
        <v>-3.6609843235554385E-3</v>
      </c>
      <c r="F197" s="74">
        <v>44720</v>
      </c>
      <c r="G197" s="40">
        <v>1500</v>
      </c>
      <c r="H197">
        <f t="shared" si="5"/>
        <v>-4.4468042742417113E-3</v>
      </c>
    </row>
    <row r="198" spans="2:8" x14ac:dyDescent="0.35">
      <c r="B198" s="74">
        <v>44721</v>
      </c>
      <c r="C198">
        <v>16478.099999999999</v>
      </c>
      <c r="D198" s="64">
        <f t="shared" si="4"/>
        <v>7.4497516239968586E-3</v>
      </c>
      <c r="F198" s="74">
        <v>44721</v>
      </c>
      <c r="G198" s="40">
        <v>1515</v>
      </c>
      <c r="H198">
        <f t="shared" si="5"/>
        <v>1.0000000000000009E-2</v>
      </c>
    </row>
    <row r="199" spans="2:8" x14ac:dyDescent="0.35">
      <c r="B199" s="74">
        <v>44722</v>
      </c>
      <c r="C199">
        <v>16201.8</v>
      </c>
      <c r="D199" s="64">
        <f t="shared" ref="D199:D262" si="6">C199/C198-1</f>
        <v>-1.6767709869463077E-2</v>
      </c>
      <c r="F199" s="74">
        <v>44722</v>
      </c>
      <c r="G199" s="40">
        <v>1476.8</v>
      </c>
      <c r="H199">
        <f t="shared" ref="H199:H262" si="7">G199/G198-1</f>
        <v>-2.52145214521452E-2</v>
      </c>
    </row>
    <row r="200" spans="2:8" x14ac:dyDescent="0.35">
      <c r="B200" s="74">
        <v>44725</v>
      </c>
      <c r="C200">
        <v>15774.4</v>
      </c>
      <c r="D200" s="64">
        <f t="shared" si="6"/>
        <v>-2.6379784962164643E-2</v>
      </c>
      <c r="F200" s="74">
        <v>44725</v>
      </c>
      <c r="G200" s="40">
        <v>1424.5</v>
      </c>
      <c r="H200">
        <f t="shared" si="7"/>
        <v>-3.5414409534127778E-2</v>
      </c>
    </row>
    <row r="201" spans="2:8" x14ac:dyDescent="0.35">
      <c r="B201" s="74">
        <v>44726</v>
      </c>
      <c r="C201">
        <v>15732.1</v>
      </c>
      <c r="D201" s="64">
        <f t="shared" si="6"/>
        <v>-2.6815599959427727E-3</v>
      </c>
      <c r="F201" s="74">
        <v>44726</v>
      </c>
      <c r="G201" s="40">
        <v>1440.55</v>
      </c>
      <c r="H201">
        <f t="shared" si="7"/>
        <v>1.1267111267111218E-2</v>
      </c>
    </row>
    <row r="202" spans="2:8" x14ac:dyDescent="0.35">
      <c r="B202" s="74">
        <v>44727</v>
      </c>
      <c r="C202">
        <v>15692.15</v>
      </c>
      <c r="D202" s="64">
        <f t="shared" si="6"/>
        <v>-2.5393939779178032E-3</v>
      </c>
      <c r="F202" s="74">
        <v>44727</v>
      </c>
      <c r="G202" s="40">
        <v>1422.2</v>
      </c>
      <c r="H202">
        <f t="shared" si="7"/>
        <v>-1.2738190274547811E-2</v>
      </c>
    </row>
    <row r="203" spans="2:8" x14ac:dyDescent="0.35">
      <c r="B203" s="74">
        <v>44728</v>
      </c>
      <c r="C203">
        <v>15360.6</v>
      </c>
      <c r="D203" s="64">
        <f t="shared" si="6"/>
        <v>-2.1128398594201458E-2</v>
      </c>
      <c r="F203" s="74">
        <v>44728</v>
      </c>
      <c r="G203" s="40">
        <v>1397.2</v>
      </c>
      <c r="H203">
        <f t="shared" si="7"/>
        <v>-1.7578399662494748E-2</v>
      </c>
    </row>
    <row r="204" spans="2:8" x14ac:dyDescent="0.35">
      <c r="B204" s="74">
        <v>44729</v>
      </c>
      <c r="C204">
        <v>15293.5</v>
      </c>
      <c r="D204" s="64">
        <f t="shared" si="6"/>
        <v>-4.3683189458745275E-3</v>
      </c>
      <c r="F204" s="74">
        <v>44729</v>
      </c>
      <c r="G204" s="40">
        <v>1387.3</v>
      </c>
      <c r="H204">
        <f t="shared" si="7"/>
        <v>-7.0855997709705631E-3</v>
      </c>
    </row>
    <row r="205" spans="2:8" x14ac:dyDescent="0.35">
      <c r="B205" s="74">
        <v>44732</v>
      </c>
      <c r="C205">
        <v>15350.15</v>
      </c>
      <c r="D205" s="64">
        <f t="shared" si="6"/>
        <v>3.7041880537482808E-3</v>
      </c>
      <c r="F205" s="74">
        <v>44732</v>
      </c>
      <c r="G205" s="40">
        <v>1414.15</v>
      </c>
      <c r="H205">
        <f t="shared" si="7"/>
        <v>1.9354141137461367E-2</v>
      </c>
    </row>
    <row r="206" spans="2:8" x14ac:dyDescent="0.35">
      <c r="B206" s="74">
        <v>44733</v>
      </c>
      <c r="C206">
        <v>15638.8</v>
      </c>
      <c r="D206" s="64">
        <f t="shared" si="6"/>
        <v>1.8804376504464093E-2</v>
      </c>
      <c r="F206" s="74">
        <v>44733</v>
      </c>
      <c r="G206" s="40">
        <v>1449.9</v>
      </c>
      <c r="H206">
        <f t="shared" si="7"/>
        <v>2.528020365590633E-2</v>
      </c>
    </row>
    <row r="207" spans="2:8" x14ac:dyDescent="0.35">
      <c r="B207" s="74">
        <v>44734</v>
      </c>
      <c r="C207">
        <v>15413.3</v>
      </c>
      <c r="D207" s="64">
        <f t="shared" si="6"/>
        <v>-1.4419264905235707E-2</v>
      </c>
      <c r="F207" s="74">
        <v>44734</v>
      </c>
      <c r="G207" s="40">
        <v>1437.25</v>
      </c>
      <c r="H207">
        <f t="shared" si="7"/>
        <v>-8.7247396372164276E-3</v>
      </c>
    </row>
    <row r="208" spans="2:8" x14ac:dyDescent="0.35">
      <c r="B208" s="74">
        <v>44735</v>
      </c>
      <c r="C208">
        <v>15556.65</v>
      </c>
      <c r="D208" s="64">
        <f t="shared" si="6"/>
        <v>9.300409386698627E-3</v>
      </c>
      <c r="F208" s="74">
        <v>44735</v>
      </c>
      <c r="G208" s="40">
        <v>1452.45</v>
      </c>
      <c r="H208">
        <f t="shared" si="7"/>
        <v>1.057575230474872E-2</v>
      </c>
    </row>
    <row r="209" spans="2:8" x14ac:dyDescent="0.35">
      <c r="B209" s="74">
        <v>44736</v>
      </c>
      <c r="C209">
        <v>15699.25</v>
      </c>
      <c r="D209" s="64">
        <f t="shared" si="6"/>
        <v>9.1664979285386305E-3</v>
      </c>
      <c r="F209" s="74">
        <v>44736</v>
      </c>
      <c r="G209" s="40">
        <v>1441.1</v>
      </c>
      <c r="H209">
        <f t="shared" si="7"/>
        <v>-7.8143825949259504E-3</v>
      </c>
    </row>
    <row r="210" spans="2:8" x14ac:dyDescent="0.35">
      <c r="B210" s="74">
        <v>44739</v>
      </c>
      <c r="C210">
        <v>15832.05</v>
      </c>
      <c r="D210" s="64">
        <f t="shared" si="6"/>
        <v>8.4590028186060096E-3</v>
      </c>
      <c r="F210" s="74">
        <v>44739</v>
      </c>
      <c r="G210" s="40">
        <v>1474.6</v>
      </c>
      <c r="H210">
        <f t="shared" si="7"/>
        <v>2.3246131427381966E-2</v>
      </c>
    </row>
    <row r="211" spans="2:8" x14ac:dyDescent="0.35">
      <c r="B211" s="74">
        <v>44740</v>
      </c>
      <c r="C211">
        <v>15850.2</v>
      </c>
      <c r="D211" s="64">
        <f t="shared" si="6"/>
        <v>1.1464087089165798E-3</v>
      </c>
      <c r="F211" s="74">
        <v>44740</v>
      </c>
      <c r="G211" s="40">
        <v>1480.15</v>
      </c>
      <c r="H211">
        <f t="shared" si="7"/>
        <v>3.7637325376373987E-3</v>
      </c>
    </row>
    <row r="212" spans="2:8" x14ac:dyDescent="0.35">
      <c r="B212" s="74">
        <v>44741</v>
      </c>
      <c r="C212">
        <v>15799.1</v>
      </c>
      <c r="D212" s="64">
        <f t="shared" si="6"/>
        <v>-3.2239340828507101E-3</v>
      </c>
      <c r="F212" s="74">
        <v>44741</v>
      </c>
      <c r="G212" s="40">
        <v>1463.25</v>
      </c>
      <c r="H212">
        <f t="shared" si="7"/>
        <v>-1.1417761713339969E-2</v>
      </c>
    </row>
    <row r="213" spans="2:8" x14ac:dyDescent="0.35">
      <c r="B213" s="74">
        <v>44742</v>
      </c>
      <c r="C213">
        <v>15780.25</v>
      </c>
      <c r="D213" s="64">
        <f t="shared" si="6"/>
        <v>-1.193105936414085E-3</v>
      </c>
      <c r="F213" s="74">
        <v>44742</v>
      </c>
      <c r="G213" s="40">
        <v>1461.9</v>
      </c>
      <c r="H213">
        <f t="shared" si="7"/>
        <v>-9.2260379292663508E-4</v>
      </c>
    </row>
    <row r="214" spans="2:8" x14ac:dyDescent="0.35">
      <c r="B214" s="74">
        <v>44743</v>
      </c>
      <c r="C214">
        <v>15752.05</v>
      </c>
      <c r="D214" s="64">
        <f t="shared" si="6"/>
        <v>-1.7870439314966458E-3</v>
      </c>
      <c r="F214" s="74">
        <v>44743</v>
      </c>
      <c r="G214" s="40">
        <v>1479.4</v>
      </c>
      <c r="H214">
        <f t="shared" si="7"/>
        <v>1.1970723031671016E-2</v>
      </c>
    </row>
    <row r="215" spans="2:8" x14ac:dyDescent="0.35">
      <c r="B215" s="74">
        <v>44746</v>
      </c>
      <c r="C215">
        <v>15835.35</v>
      </c>
      <c r="D215" s="64">
        <f t="shared" si="6"/>
        <v>5.2882005834162804E-3</v>
      </c>
      <c r="F215" s="74">
        <v>44746</v>
      </c>
      <c r="G215" s="40">
        <v>1488</v>
      </c>
      <c r="H215">
        <f t="shared" si="7"/>
        <v>5.8131675003378902E-3</v>
      </c>
    </row>
    <row r="216" spans="2:8" x14ac:dyDescent="0.35">
      <c r="B216" s="74">
        <v>44747</v>
      </c>
      <c r="C216">
        <v>15810.85</v>
      </c>
      <c r="D216" s="64">
        <f t="shared" si="6"/>
        <v>-1.5471713602793757E-3</v>
      </c>
      <c r="F216" s="74">
        <v>44747</v>
      </c>
      <c r="G216" s="40">
        <v>1475.95</v>
      </c>
      <c r="H216">
        <f t="shared" si="7"/>
        <v>-8.0981182795698547E-3</v>
      </c>
    </row>
    <row r="217" spans="2:8" x14ac:dyDescent="0.35">
      <c r="B217" s="74">
        <v>44748</v>
      </c>
      <c r="C217">
        <v>15989.8</v>
      </c>
      <c r="D217" s="64">
        <f t="shared" si="6"/>
        <v>1.1318177074603808E-2</v>
      </c>
      <c r="F217" s="74">
        <v>44748</v>
      </c>
      <c r="G217" s="40">
        <v>1491.65</v>
      </c>
      <c r="H217">
        <f t="shared" si="7"/>
        <v>1.0637216707882979E-2</v>
      </c>
    </row>
    <row r="218" spans="2:8" x14ac:dyDescent="0.35">
      <c r="B218" s="74">
        <v>44749</v>
      </c>
      <c r="C218">
        <v>16132.9</v>
      </c>
      <c r="D218" s="64">
        <f t="shared" si="6"/>
        <v>8.9494552777396041E-3</v>
      </c>
      <c r="F218" s="74">
        <v>44749</v>
      </c>
      <c r="G218" s="40">
        <v>1498.7</v>
      </c>
      <c r="H218">
        <f t="shared" si="7"/>
        <v>4.7263097911707241E-3</v>
      </c>
    </row>
    <row r="219" spans="2:8" x14ac:dyDescent="0.35">
      <c r="B219" s="74">
        <v>44750</v>
      </c>
      <c r="C219">
        <v>16220.6</v>
      </c>
      <c r="D219" s="64">
        <f t="shared" si="6"/>
        <v>5.4360964240776077E-3</v>
      </c>
      <c r="F219" s="74">
        <v>44750</v>
      </c>
      <c r="G219" s="40">
        <v>1514.45</v>
      </c>
      <c r="H219">
        <f t="shared" si="7"/>
        <v>1.0509107893507785E-2</v>
      </c>
    </row>
    <row r="220" spans="2:8" x14ac:dyDescent="0.35">
      <c r="B220" s="74">
        <v>44753</v>
      </c>
      <c r="C220">
        <v>16216</v>
      </c>
      <c r="D220" s="64">
        <f t="shared" si="6"/>
        <v>-2.8359000283595392E-4</v>
      </c>
      <c r="F220" s="74">
        <v>44753</v>
      </c>
      <c r="G220" s="40">
        <v>1473.15</v>
      </c>
      <c r="H220">
        <f t="shared" si="7"/>
        <v>-2.7270626299976897E-2</v>
      </c>
    </row>
    <row r="221" spans="2:8" x14ac:dyDescent="0.35">
      <c r="B221" s="74">
        <v>44754</v>
      </c>
      <c r="C221">
        <v>16058.3</v>
      </c>
      <c r="D221" s="64">
        <f t="shared" si="6"/>
        <v>-9.7249629995067588E-3</v>
      </c>
      <c r="F221" s="74">
        <v>44754</v>
      </c>
      <c r="G221" s="40">
        <v>1438.6</v>
      </c>
      <c r="H221">
        <f t="shared" si="7"/>
        <v>-2.3453144622068489E-2</v>
      </c>
    </row>
    <row r="222" spans="2:8" x14ac:dyDescent="0.35">
      <c r="B222" s="74">
        <v>44755</v>
      </c>
      <c r="C222">
        <v>15966.65</v>
      </c>
      <c r="D222" s="64">
        <f t="shared" si="6"/>
        <v>-5.7073289202468347E-3</v>
      </c>
      <c r="F222" s="74">
        <v>44755</v>
      </c>
      <c r="G222" s="40">
        <v>1444.45</v>
      </c>
      <c r="H222">
        <f t="shared" si="7"/>
        <v>4.0664534964549581E-3</v>
      </c>
    </row>
    <row r="223" spans="2:8" x14ac:dyDescent="0.35">
      <c r="B223" s="74">
        <v>44756</v>
      </c>
      <c r="C223">
        <v>15938.65</v>
      </c>
      <c r="D223" s="64">
        <f t="shared" si="6"/>
        <v>-1.7536552752143164E-3</v>
      </c>
      <c r="F223" s="74">
        <v>44756</v>
      </c>
      <c r="G223" s="40">
        <v>1428.85</v>
      </c>
      <c r="H223">
        <f t="shared" si="7"/>
        <v>-1.0799958461698345E-2</v>
      </c>
    </row>
    <row r="224" spans="2:8" x14ac:dyDescent="0.35">
      <c r="B224" s="74">
        <v>44757</v>
      </c>
      <c r="C224">
        <v>16049.2</v>
      </c>
      <c r="D224" s="64">
        <f t="shared" si="6"/>
        <v>6.9359701103921534E-3</v>
      </c>
      <c r="F224" s="74">
        <v>44757</v>
      </c>
      <c r="G224" s="40">
        <v>1430.35</v>
      </c>
      <c r="H224">
        <f t="shared" si="7"/>
        <v>1.0497952899184426E-3</v>
      </c>
    </row>
    <row r="225" spans="2:8" x14ac:dyDescent="0.35">
      <c r="B225" s="74">
        <v>44760</v>
      </c>
      <c r="C225">
        <v>16278.5</v>
      </c>
      <c r="D225" s="64">
        <f t="shared" si="6"/>
        <v>1.4287316501756964E-2</v>
      </c>
      <c r="F225" s="74">
        <v>44760</v>
      </c>
      <c r="G225" s="40">
        <v>1489.9</v>
      </c>
      <c r="H225">
        <f t="shared" si="7"/>
        <v>4.1633166707449432E-2</v>
      </c>
    </row>
    <row r="226" spans="2:8" x14ac:dyDescent="0.35">
      <c r="B226" s="74">
        <v>44761</v>
      </c>
      <c r="C226">
        <v>16340.55</v>
      </c>
      <c r="D226" s="64">
        <f t="shared" si="6"/>
        <v>3.8117762693121726E-3</v>
      </c>
      <c r="F226" s="74">
        <v>44761</v>
      </c>
      <c r="G226" s="40">
        <v>1484.15</v>
      </c>
      <c r="H226">
        <f t="shared" si="7"/>
        <v>-3.8593194174105783E-3</v>
      </c>
    </row>
    <row r="227" spans="2:8" x14ac:dyDescent="0.35">
      <c r="B227" s="74">
        <v>44762</v>
      </c>
      <c r="C227">
        <v>16520.849999999999</v>
      </c>
      <c r="D227" s="64">
        <f t="shared" si="6"/>
        <v>1.1033900327712232E-2</v>
      </c>
      <c r="F227" s="74">
        <v>44762</v>
      </c>
      <c r="G227" s="40">
        <v>1515.3</v>
      </c>
      <c r="H227">
        <f t="shared" si="7"/>
        <v>2.0988444564228548E-2</v>
      </c>
    </row>
    <row r="228" spans="2:8" x14ac:dyDescent="0.35">
      <c r="B228" s="74">
        <v>44763</v>
      </c>
      <c r="C228">
        <v>16605.25</v>
      </c>
      <c r="D228" s="64">
        <f t="shared" si="6"/>
        <v>5.1086959811390553E-3</v>
      </c>
      <c r="F228" s="74">
        <v>44763</v>
      </c>
      <c r="G228" s="40">
        <v>1532.9</v>
      </c>
      <c r="H228">
        <f t="shared" si="7"/>
        <v>1.1614861743549199E-2</v>
      </c>
    </row>
    <row r="229" spans="2:8" x14ac:dyDescent="0.35">
      <c r="B229" s="74">
        <v>44764</v>
      </c>
      <c r="C229">
        <v>16719.45</v>
      </c>
      <c r="D229" s="64">
        <f t="shared" si="6"/>
        <v>6.8773430089881238E-3</v>
      </c>
      <c r="F229" s="74">
        <v>44764</v>
      </c>
      <c r="G229" s="40">
        <v>1506.3</v>
      </c>
      <c r="H229">
        <f t="shared" si="7"/>
        <v>-1.7352730119381654E-2</v>
      </c>
    </row>
    <row r="230" spans="2:8" x14ac:dyDescent="0.35">
      <c r="B230" s="74">
        <v>44767</v>
      </c>
      <c r="C230">
        <v>16631</v>
      </c>
      <c r="D230" s="64">
        <f t="shared" si="6"/>
        <v>-5.2902457915781076E-3</v>
      </c>
      <c r="F230" s="74">
        <v>44767</v>
      </c>
      <c r="G230" s="40">
        <v>1503.6</v>
      </c>
      <c r="H230">
        <f t="shared" si="7"/>
        <v>-1.7924716191993761E-3</v>
      </c>
    </row>
    <row r="231" spans="2:8" x14ac:dyDescent="0.35">
      <c r="B231" s="74">
        <v>44768</v>
      </c>
      <c r="C231">
        <v>16483.849999999999</v>
      </c>
      <c r="D231" s="64">
        <f t="shared" si="6"/>
        <v>-8.8479345800013265E-3</v>
      </c>
      <c r="F231" s="74">
        <v>44768</v>
      </c>
      <c r="G231" s="40">
        <v>1451.15</v>
      </c>
      <c r="H231">
        <f t="shared" si="7"/>
        <v>-3.4882947592444702E-2</v>
      </c>
    </row>
    <row r="232" spans="2:8" x14ac:dyDescent="0.35">
      <c r="B232" s="74">
        <v>44769</v>
      </c>
      <c r="C232">
        <v>16641.8</v>
      </c>
      <c r="D232" s="64">
        <f t="shared" si="6"/>
        <v>9.5821061220529025E-3</v>
      </c>
      <c r="F232" s="74">
        <v>44769</v>
      </c>
      <c r="G232" s="40">
        <v>1471.05</v>
      </c>
      <c r="H232">
        <f t="shared" si="7"/>
        <v>1.3713261895737849E-2</v>
      </c>
    </row>
    <row r="233" spans="2:8" x14ac:dyDescent="0.35">
      <c r="B233" s="74">
        <v>44770</v>
      </c>
      <c r="C233">
        <v>16929.599999999999</v>
      </c>
      <c r="D233" s="64">
        <f t="shared" si="6"/>
        <v>1.7293802353110843E-2</v>
      </c>
      <c r="F233" s="74">
        <v>44770</v>
      </c>
      <c r="G233" s="40">
        <v>1517.4</v>
      </c>
      <c r="H233">
        <f t="shared" si="7"/>
        <v>3.1508106454573248E-2</v>
      </c>
    </row>
    <row r="234" spans="2:8" x14ac:dyDescent="0.35">
      <c r="B234" s="74">
        <v>44771</v>
      </c>
      <c r="C234">
        <v>17158.25</v>
      </c>
      <c r="D234" s="64">
        <f t="shared" si="6"/>
        <v>1.3505930441357172E-2</v>
      </c>
      <c r="F234" s="74">
        <v>44771</v>
      </c>
      <c r="G234" s="40">
        <v>1549.7</v>
      </c>
      <c r="H234">
        <f t="shared" si="7"/>
        <v>2.1286410966126157E-2</v>
      </c>
    </row>
    <row r="235" spans="2:8" x14ac:dyDescent="0.35">
      <c r="B235" s="74">
        <v>44774</v>
      </c>
      <c r="C235">
        <v>17340.05</v>
      </c>
      <c r="D235" s="64">
        <f t="shared" si="6"/>
        <v>1.0595486136406596E-2</v>
      </c>
      <c r="F235" s="74">
        <v>44774</v>
      </c>
      <c r="G235" s="40">
        <v>1551.05</v>
      </c>
      <c r="H235">
        <f t="shared" si="7"/>
        <v>8.7113634897062475E-4</v>
      </c>
    </row>
    <row r="236" spans="2:8" x14ac:dyDescent="0.35">
      <c r="B236" s="74">
        <v>44775</v>
      </c>
      <c r="C236">
        <v>17345.45</v>
      </c>
      <c r="D236" s="64">
        <f t="shared" si="6"/>
        <v>3.1141778714594004E-4</v>
      </c>
      <c r="F236" s="74">
        <v>44775</v>
      </c>
      <c r="G236" s="40">
        <v>1543.6</v>
      </c>
      <c r="H236">
        <f t="shared" si="7"/>
        <v>-4.8031978337256254E-3</v>
      </c>
    </row>
    <row r="237" spans="2:8" x14ac:dyDescent="0.35">
      <c r="B237" s="74">
        <v>44776</v>
      </c>
      <c r="C237">
        <v>17388.150000000001</v>
      </c>
      <c r="D237" s="64">
        <f t="shared" si="6"/>
        <v>2.4617406870390823E-3</v>
      </c>
      <c r="F237" s="74">
        <v>44776</v>
      </c>
      <c r="G237" s="40">
        <v>1566.1</v>
      </c>
      <c r="H237">
        <f t="shared" si="7"/>
        <v>1.4576315107540871E-2</v>
      </c>
    </row>
    <row r="238" spans="2:8" x14ac:dyDescent="0.35">
      <c r="B238" s="74">
        <v>44777</v>
      </c>
      <c r="C238">
        <v>17382</v>
      </c>
      <c r="D238" s="64">
        <f t="shared" si="6"/>
        <v>-3.5368915036970705E-4</v>
      </c>
      <c r="F238" s="74">
        <v>44777</v>
      </c>
      <c r="G238" s="40">
        <v>1599.9</v>
      </c>
      <c r="H238">
        <f t="shared" si="7"/>
        <v>2.1582274439690963E-2</v>
      </c>
    </row>
    <row r="239" spans="2:8" x14ac:dyDescent="0.35">
      <c r="B239" s="74">
        <v>44778</v>
      </c>
      <c r="C239">
        <v>17397.5</v>
      </c>
      <c r="D239" s="64">
        <f t="shared" si="6"/>
        <v>8.9172707398454953E-4</v>
      </c>
      <c r="F239" s="74">
        <v>44778</v>
      </c>
      <c r="G239" s="40">
        <v>1616.65</v>
      </c>
      <c r="H239">
        <f t="shared" si="7"/>
        <v>1.0469404337771104E-2</v>
      </c>
    </row>
    <row r="240" spans="2:8" x14ac:dyDescent="0.35">
      <c r="B240" s="74">
        <v>44781</v>
      </c>
      <c r="C240">
        <v>17525.099999999999</v>
      </c>
      <c r="D240" s="64">
        <f t="shared" si="6"/>
        <v>7.3343871245867831E-3</v>
      </c>
      <c r="F240" s="74">
        <v>44781</v>
      </c>
      <c r="G240" s="40">
        <v>1619.4</v>
      </c>
      <c r="H240">
        <f t="shared" si="7"/>
        <v>1.7010484644170987E-3</v>
      </c>
    </row>
    <row r="241" spans="2:8" x14ac:dyDescent="0.35">
      <c r="B241" s="74">
        <v>44783</v>
      </c>
      <c r="C241">
        <v>17534.75</v>
      </c>
      <c r="D241" s="64">
        <f t="shared" si="6"/>
        <v>5.5063879806693805E-4</v>
      </c>
      <c r="F241" s="74">
        <v>44783</v>
      </c>
      <c r="G241" s="40">
        <v>1602.45</v>
      </c>
      <c r="H241">
        <f t="shared" si="7"/>
        <v>-1.0466839570211217E-2</v>
      </c>
    </row>
    <row r="242" spans="2:8" x14ac:dyDescent="0.35">
      <c r="B242" s="74">
        <v>44784</v>
      </c>
      <c r="C242">
        <v>17659</v>
      </c>
      <c r="D242" s="64">
        <f t="shared" si="6"/>
        <v>7.0859293688247948E-3</v>
      </c>
      <c r="F242" s="74">
        <v>44784</v>
      </c>
      <c r="G242" s="40">
        <v>1619.95</v>
      </c>
      <c r="H242">
        <f t="shared" si="7"/>
        <v>1.0920777559362271E-2</v>
      </c>
    </row>
    <row r="243" spans="2:8" x14ac:dyDescent="0.35">
      <c r="B243" s="74">
        <v>44785</v>
      </c>
      <c r="C243">
        <v>17698.150000000001</v>
      </c>
      <c r="D243" s="64">
        <f t="shared" si="6"/>
        <v>2.2169998301151406E-3</v>
      </c>
      <c r="F243" s="74">
        <v>44785</v>
      </c>
      <c r="G243" s="40">
        <v>1594.1</v>
      </c>
      <c r="H243">
        <f t="shared" si="7"/>
        <v>-1.5957282632180103E-2</v>
      </c>
    </row>
    <row r="244" spans="2:8" x14ac:dyDescent="0.35">
      <c r="B244" s="74">
        <v>44789</v>
      </c>
      <c r="C244">
        <v>17825.25</v>
      </c>
      <c r="D244" s="64">
        <f t="shared" si="6"/>
        <v>7.1815415735541066E-3</v>
      </c>
      <c r="F244" s="74">
        <v>44789</v>
      </c>
      <c r="G244" s="40">
        <v>1596.45</v>
      </c>
      <c r="H244">
        <f t="shared" si="7"/>
        <v>1.474186061100502E-3</v>
      </c>
    </row>
    <row r="245" spans="2:8" x14ac:dyDescent="0.35">
      <c r="B245" s="74">
        <v>44790</v>
      </c>
      <c r="C245">
        <v>17944.25</v>
      </c>
      <c r="D245" s="64">
        <f t="shared" si="6"/>
        <v>6.6759231988331447E-3</v>
      </c>
      <c r="F245" s="74">
        <v>44790</v>
      </c>
      <c r="G245" s="40">
        <v>1606.25</v>
      </c>
      <c r="H245">
        <f t="shared" si="7"/>
        <v>6.1386200632653765E-3</v>
      </c>
    </row>
    <row r="246" spans="2:8" x14ac:dyDescent="0.35">
      <c r="B246" s="74">
        <v>44791</v>
      </c>
      <c r="C246">
        <v>17956.5</v>
      </c>
      <c r="D246" s="64">
        <f t="shared" si="6"/>
        <v>6.826699360520383E-4</v>
      </c>
      <c r="F246" s="74">
        <v>44791</v>
      </c>
      <c r="G246" s="40">
        <v>1582.95</v>
      </c>
      <c r="H246">
        <f t="shared" si="7"/>
        <v>-1.4505836575875453E-2</v>
      </c>
    </row>
    <row r="247" spans="2:8" x14ac:dyDescent="0.35">
      <c r="B247" s="74">
        <v>44792</v>
      </c>
      <c r="C247">
        <v>17758.45</v>
      </c>
      <c r="D247" s="64">
        <f t="shared" si="6"/>
        <v>-1.1029432239022086E-2</v>
      </c>
      <c r="F247" s="74">
        <v>44792</v>
      </c>
      <c r="G247" s="40">
        <v>1597.1</v>
      </c>
      <c r="H247">
        <f t="shared" si="7"/>
        <v>8.9390062857321873E-3</v>
      </c>
    </row>
    <row r="248" spans="2:8" x14ac:dyDescent="0.35">
      <c r="B248" s="74">
        <v>44795</v>
      </c>
      <c r="C248">
        <v>17490.7</v>
      </c>
      <c r="D248" s="64">
        <f t="shared" si="6"/>
        <v>-1.5077329384039717E-2</v>
      </c>
      <c r="F248" s="74">
        <v>44795</v>
      </c>
      <c r="G248" s="40">
        <v>1575.65</v>
      </c>
      <c r="H248">
        <f t="shared" si="7"/>
        <v>-1.3430592949721265E-2</v>
      </c>
    </row>
    <row r="249" spans="2:8" x14ac:dyDescent="0.35">
      <c r="B249" s="74">
        <v>44796</v>
      </c>
      <c r="C249">
        <v>17577.5</v>
      </c>
      <c r="D249" s="64">
        <f t="shared" si="6"/>
        <v>4.9626372872439983E-3</v>
      </c>
      <c r="F249" s="74">
        <v>44796</v>
      </c>
      <c r="G249" s="40">
        <v>1542.4</v>
      </c>
      <c r="H249">
        <f t="shared" si="7"/>
        <v>-2.110240218322601E-2</v>
      </c>
    </row>
    <row r="250" spans="2:8" x14ac:dyDescent="0.35">
      <c r="B250" s="74">
        <v>44797</v>
      </c>
      <c r="C250">
        <v>17604.95</v>
      </c>
      <c r="D250" s="64">
        <f t="shared" si="6"/>
        <v>1.5616555255297815E-3</v>
      </c>
      <c r="F250" s="74">
        <v>44797</v>
      </c>
      <c r="G250" s="40">
        <v>1537.5</v>
      </c>
      <c r="H250">
        <f t="shared" si="7"/>
        <v>-3.1768672199170567E-3</v>
      </c>
    </row>
    <row r="251" spans="2:8" x14ac:dyDescent="0.35">
      <c r="B251" s="74">
        <v>44798</v>
      </c>
      <c r="C251">
        <v>17522.45</v>
      </c>
      <c r="D251" s="64">
        <f t="shared" si="6"/>
        <v>-4.6861820113093255E-3</v>
      </c>
      <c r="F251" s="74">
        <v>44798</v>
      </c>
      <c r="G251" s="40">
        <v>1518.15</v>
      </c>
      <c r="H251">
        <f t="shared" si="7"/>
        <v>-1.2585365853658437E-2</v>
      </c>
    </row>
    <row r="252" spans="2:8" x14ac:dyDescent="0.35">
      <c r="B252" s="74">
        <v>44799</v>
      </c>
      <c r="C252">
        <v>17558.900000000001</v>
      </c>
      <c r="D252" s="64">
        <f t="shared" si="6"/>
        <v>2.0801885581069879E-3</v>
      </c>
      <c r="F252" s="74">
        <v>44799</v>
      </c>
      <c r="G252" s="40">
        <v>1521.55</v>
      </c>
      <c r="H252">
        <f t="shared" si="7"/>
        <v>2.2395678951354636E-3</v>
      </c>
    </row>
    <row r="253" spans="2:8" x14ac:dyDescent="0.35">
      <c r="B253" s="74">
        <v>44802</v>
      </c>
      <c r="C253">
        <v>17312.900000000001</v>
      </c>
      <c r="D253" s="64">
        <f t="shared" si="6"/>
        <v>-1.400998923622776E-2</v>
      </c>
      <c r="F253" s="74">
        <v>44802</v>
      </c>
      <c r="G253" s="40">
        <v>1461.75</v>
      </c>
      <c r="H253">
        <f t="shared" si="7"/>
        <v>-3.9302027537708284E-2</v>
      </c>
    </row>
    <row r="254" spans="2:8" x14ac:dyDescent="0.35">
      <c r="B254" s="74">
        <v>44803</v>
      </c>
      <c r="C254">
        <v>17759.3</v>
      </c>
      <c r="D254" s="64">
        <f t="shared" si="6"/>
        <v>2.5784241808131325E-2</v>
      </c>
      <c r="F254" s="74">
        <v>44803</v>
      </c>
      <c r="G254" s="40">
        <v>1492.95</v>
      </c>
      <c r="H254">
        <f t="shared" si="7"/>
        <v>2.1344279117496257E-2</v>
      </c>
    </row>
    <row r="255" spans="2:8" x14ac:dyDescent="0.35">
      <c r="B255" s="74">
        <v>44805</v>
      </c>
      <c r="C255">
        <v>17542.8</v>
      </c>
      <c r="D255" s="64">
        <f t="shared" si="6"/>
        <v>-1.2190795808393329E-2</v>
      </c>
      <c r="F255" s="74">
        <v>44805</v>
      </c>
      <c r="G255" s="40">
        <v>1464.2</v>
      </c>
      <c r="H255">
        <f t="shared" si="7"/>
        <v>-1.9257175391004355E-2</v>
      </c>
    </row>
    <row r="256" spans="2:8" x14ac:dyDescent="0.35">
      <c r="B256" s="74">
        <v>44806</v>
      </c>
      <c r="C256">
        <v>17539.45</v>
      </c>
      <c r="D256" s="64">
        <f t="shared" si="6"/>
        <v>-1.9096153407660577E-4</v>
      </c>
      <c r="F256" s="74">
        <v>44806</v>
      </c>
      <c r="G256" s="40">
        <v>1453</v>
      </c>
      <c r="H256">
        <f t="shared" si="7"/>
        <v>-7.6492282475072448E-3</v>
      </c>
    </row>
    <row r="257" spans="2:8" x14ac:dyDescent="0.35">
      <c r="B257" s="74">
        <v>44809</v>
      </c>
      <c r="C257">
        <v>17665.8</v>
      </c>
      <c r="D257" s="64">
        <f t="shared" si="6"/>
        <v>7.2037606652430863E-3</v>
      </c>
      <c r="F257" s="74">
        <v>44809</v>
      </c>
      <c r="G257" s="40">
        <v>1461.3</v>
      </c>
      <c r="H257">
        <f t="shared" si="7"/>
        <v>5.7123193392980554E-3</v>
      </c>
    </row>
    <row r="258" spans="2:8" x14ac:dyDescent="0.35">
      <c r="B258" s="74">
        <v>44810</v>
      </c>
      <c r="C258">
        <v>17655.599999999999</v>
      </c>
      <c r="D258" s="64">
        <f t="shared" si="6"/>
        <v>-5.773868152022521E-4</v>
      </c>
      <c r="F258" s="74">
        <v>44810</v>
      </c>
      <c r="G258" s="40">
        <v>1455.1</v>
      </c>
      <c r="H258">
        <f t="shared" si="7"/>
        <v>-4.2427975090673087E-3</v>
      </c>
    </row>
    <row r="259" spans="2:8" x14ac:dyDescent="0.35">
      <c r="B259" s="74">
        <v>44811</v>
      </c>
      <c r="C259">
        <v>17624.400000000001</v>
      </c>
      <c r="D259" s="64">
        <f t="shared" si="6"/>
        <v>-1.7671447019640407E-3</v>
      </c>
      <c r="F259" s="74">
        <v>44811</v>
      </c>
      <c r="G259" s="40">
        <v>1457.65</v>
      </c>
      <c r="H259">
        <f t="shared" si="7"/>
        <v>1.7524568758162662E-3</v>
      </c>
    </row>
    <row r="260" spans="2:8" x14ac:dyDescent="0.35">
      <c r="B260" s="74">
        <v>44812</v>
      </c>
      <c r="C260">
        <v>17798.75</v>
      </c>
      <c r="D260" s="64">
        <f t="shared" si="6"/>
        <v>9.8925353487209211E-3</v>
      </c>
      <c r="F260" s="74">
        <v>44812</v>
      </c>
      <c r="G260" s="40">
        <v>1475.9</v>
      </c>
      <c r="H260">
        <f t="shared" si="7"/>
        <v>1.252015229993475E-2</v>
      </c>
    </row>
    <row r="261" spans="2:8" x14ac:dyDescent="0.35">
      <c r="B261" s="74">
        <v>44813</v>
      </c>
      <c r="C261">
        <v>17833.349999999999</v>
      </c>
      <c r="D261" s="64">
        <f t="shared" si="6"/>
        <v>1.9439567385348688E-3</v>
      </c>
      <c r="F261" s="74">
        <v>44813</v>
      </c>
      <c r="G261" s="40">
        <v>1511.65</v>
      </c>
      <c r="H261">
        <f t="shared" si="7"/>
        <v>2.4222508300020262E-2</v>
      </c>
    </row>
    <row r="262" spans="2:8" x14ac:dyDescent="0.35">
      <c r="B262" s="74">
        <v>44816</v>
      </c>
      <c r="C262">
        <v>17936.349999999999</v>
      </c>
      <c r="D262" s="64">
        <f t="shared" si="6"/>
        <v>5.775695536733183E-3</v>
      </c>
      <c r="F262" s="74">
        <v>44816</v>
      </c>
      <c r="G262" s="40">
        <v>1536.2</v>
      </c>
      <c r="H262">
        <f t="shared" si="7"/>
        <v>1.6240531869149644E-2</v>
      </c>
    </row>
    <row r="263" spans="2:8" x14ac:dyDescent="0.35">
      <c r="B263" s="74">
        <v>44817</v>
      </c>
      <c r="C263">
        <v>18070.05</v>
      </c>
      <c r="D263" s="64">
        <f t="shared" ref="D263:D326" si="8">C263/C262-1</f>
        <v>7.4541364324403059E-3</v>
      </c>
      <c r="F263" s="74">
        <v>44817</v>
      </c>
      <c r="G263" s="40">
        <v>1544.95</v>
      </c>
      <c r="H263">
        <f t="shared" ref="H263:H326" si="9">G263/G262-1</f>
        <v>5.6958729332117208E-3</v>
      </c>
    </row>
    <row r="264" spans="2:8" x14ac:dyDescent="0.35">
      <c r="B264" s="74">
        <v>44818</v>
      </c>
      <c r="C264">
        <v>18003.75</v>
      </c>
      <c r="D264" s="64">
        <f t="shared" si="8"/>
        <v>-3.6690545958644183E-3</v>
      </c>
      <c r="F264" s="74">
        <v>44818</v>
      </c>
      <c r="G264" s="40">
        <v>1475.4</v>
      </c>
      <c r="H264">
        <f t="shared" si="9"/>
        <v>-4.501763811126569E-2</v>
      </c>
    </row>
    <row r="265" spans="2:8" x14ac:dyDescent="0.35">
      <c r="B265" s="74">
        <v>44819</v>
      </c>
      <c r="C265">
        <v>17877.400000000001</v>
      </c>
      <c r="D265" s="64">
        <f t="shared" si="8"/>
        <v>-7.0179823647850137E-3</v>
      </c>
      <c r="F265" s="74">
        <v>44819</v>
      </c>
      <c r="G265" s="40">
        <v>1432.8</v>
      </c>
      <c r="H265">
        <f t="shared" si="9"/>
        <v>-2.8873525823505553E-2</v>
      </c>
    </row>
    <row r="266" spans="2:8" x14ac:dyDescent="0.35">
      <c r="B266" s="74">
        <v>44820</v>
      </c>
      <c r="C266">
        <v>17530.849999999999</v>
      </c>
      <c r="D266" s="64">
        <f t="shared" si="8"/>
        <v>-1.9384809871681674E-2</v>
      </c>
      <c r="F266" s="74">
        <v>44820</v>
      </c>
      <c r="G266" s="40">
        <v>1377.05</v>
      </c>
      <c r="H266">
        <f t="shared" si="9"/>
        <v>-3.8909826912339462E-2</v>
      </c>
    </row>
    <row r="267" spans="2:8" x14ac:dyDescent="0.35">
      <c r="B267" s="74">
        <v>44823</v>
      </c>
      <c r="C267">
        <v>17622.25</v>
      </c>
      <c r="D267" s="64">
        <f t="shared" si="8"/>
        <v>5.2136661941664109E-3</v>
      </c>
      <c r="F267" s="74">
        <v>44823</v>
      </c>
      <c r="G267" s="40">
        <v>1390.3</v>
      </c>
      <c r="H267">
        <f t="shared" si="9"/>
        <v>9.6220180821320334E-3</v>
      </c>
    </row>
    <row r="268" spans="2:8" x14ac:dyDescent="0.35">
      <c r="B268" s="74">
        <v>44824</v>
      </c>
      <c r="C268">
        <v>17816.25</v>
      </c>
      <c r="D268" s="64">
        <f t="shared" si="8"/>
        <v>1.1008809885230342E-2</v>
      </c>
      <c r="F268" s="74">
        <v>44824</v>
      </c>
      <c r="G268" s="40">
        <v>1388.55</v>
      </c>
      <c r="H268">
        <f t="shared" si="9"/>
        <v>-1.2587211393224607E-3</v>
      </c>
    </row>
    <row r="269" spans="2:8" x14ac:dyDescent="0.35">
      <c r="B269" s="74">
        <v>44825</v>
      </c>
      <c r="C269">
        <v>17718.349999999999</v>
      </c>
      <c r="D269" s="64">
        <f t="shared" si="8"/>
        <v>-5.4949835122430901E-3</v>
      </c>
      <c r="F269" s="74">
        <v>44825</v>
      </c>
      <c r="G269" s="40">
        <v>1377.25</v>
      </c>
      <c r="H269">
        <f t="shared" si="9"/>
        <v>-8.1379856685031005E-3</v>
      </c>
    </row>
    <row r="270" spans="2:8" x14ac:dyDescent="0.35">
      <c r="B270" s="74">
        <v>44826</v>
      </c>
      <c r="C270">
        <v>17629.8</v>
      </c>
      <c r="D270" s="64">
        <f t="shared" si="8"/>
        <v>-4.9976436857833706E-3</v>
      </c>
      <c r="F270" s="74">
        <v>44826</v>
      </c>
      <c r="G270" s="40">
        <v>1367.95</v>
      </c>
      <c r="H270">
        <f t="shared" si="9"/>
        <v>-6.752586676347816E-3</v>
      </c>
    </row>
    <row r="271" spans="2:8" x14ac:dyDescent="0.35">
      <c r="B271" s="74">
        <v>44827</v>
      </c>
      <c r="C271">
        <v>17327.349999999999</v>
      </c>
      <c r="D271" s="64">
        <f t="shared" si="8"/>
        <v>-1.7155611521401326E-2</v>
      </c>
      <c r="F271" s="74">
        <v>44827</v>
      </c>
      <c r="G271" s="40">
        <v>1365.45</v>
      </c>
      <c r="H271">
        <f t="shared" si="9"/>
        <v>-1.8275521766146774E-3</v>
      </c>
    </row>
    <row r="272" spans="2:8" x14ac:dyDescent="0.35">
      <c r="B272" s="74">
        <v>44830</v>
      </c>
      <c r="C272">
        <v>17016.3</v>
      </c>
      <c r="D272" s="64">
        <f t="shared" si="8"/>
        <v>-1.7951388989083661E-2</v>
      </c>
      <c r="F272" s="74">
        <v>44830</v>
      </c>
      <c r="G272" s="40">
        <v>1380.25</v>
      </c>
      <c r="H272">
        <f t="shared" si="9"/>
        <v>1.0838917572961293E-2</v>
      </c>
    </row>
    <row r="273" spans="2:8" x14ac:dyDescent="0.35">
      <c r="B273" s="74">
        <v>44831</v>
      </c>
      <c r="C273">
        <v>17007.400000000001</v>
      </c>
      <c r="D273" s="64">
        <f t="shared" si="8"/>
        <v>-5.230279202880217E-4</v>
      </c>
      <c r="F273" s="74">
        <v>44831</v>
      </c>
      <c r="G273" s="40">
        <v>1393.55</v>
      </c>
      <c r="H273">
        <f t="shared" si="9"/>
        <v>9.6359355189277185E-3</v>
      </c>
    </row>
    <row r="274" spans="2:8" x14ac:dyDescent="0.35">
      <c r="B274" s="74">
        <v>44832</v>
      </c>
      <c r="C274">
        <v>16858.599999999999</v>
      </c>
      <c r="D274" s="64">
        <f t="shared" si="8"/>
        <v>-8.7491327304586308E-3</v>
      </c>
      <c r="F274" s="74">
        <v>44832</v>
      </c>
      <c r="G274" s="40">
        <v>1394.7</v>
      </c>
      <c r="H274">
        <f t="shared" si="9"/>
        <v>8.2523052635363747E-4</v>
      </c>
    </row>
    <row r="275" spans="2:8" x14ac:dyDescent="0.35">
      <c r="B275" s="74">
        <v>44833</v>
      </c>
      <c r="C275">
        <v>16818.099999999999</v>
      </c>
      <c r="D275" s="64">
        <f t="shared" si="8"/>
        <v>-2.4023347134399797E-3</v>
      </c>
      <c r="F275" s="74">
        <v>44833</v>
      </c>
      <c r="G275" s="40">
        <v>1398.65</v>
      </c>
      <c r="H275">
        <f t="shared" si="9"/>
        <v>2.8321502832151513E-3</v>
      </c>
    </row>
    <row r="276" spans="2:8" x14ac:dyDescent="0.35">
      <c r="B276" s="74">
        <v>44834</v>
      </c>
      <c r="C276">
        <v>17094.349999999999</v>
      </c>
      <c r="D276" s="64">
        <f t="shared" si="8"/>
        <v>1.6425755584756896E-2</v>
      </c>
      <c r="F276" s="74">
        <v>44834</v>
      </c>
      <c r="G276" s="40">
        <v>1413.45</v>
      </c>
      <c r="H276">
        <f t="shared" si="9"/>
        <v>1.0581632288277909E-2</v>
      </c>
    </row>
    <row r="277" spans="2:8" x14ac:dyDescent="0.35">
      <c r="B277" s="74">
        <v>44837</v>
      </c>
      <c r="C277">
        <v>16887.349999999999</v>
      </c>
      <c r="D277" s="64">
        <f t="shared" si="8"/>
        <v>-1.2109264172080247E-2</v>
      </c>
      <c r="F277" s="74">
        <v>44837</v>
      </c>
      <c r="G277" s="40">
        <v>1393.75</v>
      </c>
      <c r="H277">
        <f t="shared" si="9"/>
        <v>-1.3937528741731264E-2</v>
      </c>
    </row>
    <row r="278" spans="2:8" x14ac:dyDescent="0.35">
      <c r="B278" s="74">
        <v>44838</v>
      </c>
      <c r="C278">
        <v>17274.3</v>
      </c>
      <c r="D278" s="64">
        <f t="shared" si="8"/>
        <v>2.2913601009039386E-2</v>
      </c>
      <c r="F278" s="74">
        <v>44838</v>
      </c>
      <c r="G278" s="40">
        <v>1429.4</v>
      </c>
      <c r="H278">
        <f t="shared" si="9"/>
        <v>2.5578475336322848E-2</v>
      </c>
    </row>
    <row r="279" spans="2:8" x14ac:dyDescent="0.35">
      <c r="B279" s="74">
        <v>44840</v>
      </c>
      <c r="C279">
        <v>17331.8</v>
      </c>
      <c r="D279" s="64">
        <f t="shared" si="8"/>
        <v>3.3286442865991805E-3</v>
      </c>
      <c r="F279" s="74">
        <v>44840</v>
      </c>
      <c r="G279" s="40">
        <v>1455.15</v>
      </c>
      <c r="H279">
        <f t="shared" si="9"/>
        <v>1.8014551560095127E-2</v>
      </c>
    </row>
    <row r="280" spans="2:8" x14ac:dyDescent="0.35">
      <c r="B280" s="74">
        <v>44841</v>
      </c>
      <c r="C280">
        <v>17314.650000000001</v>
      </c>
      <c r="D280" s="64">
        <f t="shared" si="8"/>
        <v>-9.8951061055385647E-4</v>
      </c>
      <c r="F280" s="74">
        <v>44841</v>
      </c>
      <c r="G280" s="40">
        <v>1451.2</v>
      </c>
      <c r="H280">
        <f t="shared" si="9"/>
        <v>-2.7144967872728687E-3</v>
      </c>
    </row>
    <row r="281" spans="2:8" x14ac:dyDescent="0.35">
      <c r="B281" s="74">
        <v>44844</v>
      </c>
      <c r="C281">
        <v>17241</v>
      </c>
      <c r="D281" s="64">
        <f t="shared" si="8"/>
        <v>-4.2536233767359599E-3</v>
      </c>
      <c r="F281" s="74">
        <v>44844</v>
      </c>
      <c r="G281" s="40">
        <v>1462.65</v>
      </c>
      <c r="H281">
        <f t="shared" si="9"/>
        <v>7.8900220507167607E-3</v>
      </c>
    </row>
    <row r="282" spans="2:8" x14ac:dyDescent="0.35">
      <c r="B282" s="74">
        <v>44845</v>
      </c>
      <c r="C282">
        <v>16983.55</v>
      </c>
      <c r="D282" s="64">
        <f t="shared" si="8"/>
        <v>-1.4932428513427354E-2</v>
      </c>
      <c r="F282" s="74">
        <v>44845</v>
      </c>
      <c r="G282" s="40">
        <v>1423.8</v>
      </c>
      <c r="H282">
        <f t="shared" si="9"/>
        <v>-2.6561378320172357E-2</v>
      </c>
    </row>
    <row r="283" spans="2:8" x14ac:dyDescent="0.35">
      <c r="B283" s="74">
        <v>44846</v>
      </c>
      <c r="C283">
        <v>17123.599999999999</v>
      </c>
      <c r="D283" s="64">
        <f t="shared" si="8"/>
        <v>8.2462147195374591E-3</v>
      </c>
      <c r="F283" s="74">
        <v>44846</v>
      </c>
      <c r="G283" s="40">
        <v>1428.7</v>
      </c>
      <c r="H283">
        <f t="shared" si="9"/>
        <v>3.4414945919372109E-3</v>
      </c>
    </row>
    <row r="284" spans="2:8" x14ac:dyDescent="0.35">
      <c r="B284" s="74">
        <v>44847</v>
      </c>
      <c r="C284">
        <v>17014.349999999999</v>
      </c>
      <c r="D284" s="64">
        <f t="shared" si="8"/>
        <v>-6.380083627274602E-3</v>
      </c>
      <c r="F284" s="74">
        <v>44847</v>
      </c>
      <c r="G284" s="40">
        <v>1419.9</v>
      </c>
      <c r="H284">
        <f t="shared" si="9"/>
        <v>-6.1594456498914596E-3</v>
      </c>
    </row>
    <row r="285" spans="2:8" x14ac:dyDescent="0.35">
      <c r="B285" s="74">
        <v>44848</v>
      </c>
      <c r="C285">
        <v>17185.7</v>
      </c>
      <c r="D285" s="64">
        <f t="shared" si="8"/>
        <v>1.0070910731235783E-2</v>
      </c>
      <c r="F285" s="74">
        <v>44848</v>
      </c>
      <c r="G285" s="40">
        <v>1474.25</v>
      </c>
      <c r="H285">
        <f t="shared" si="9"/>
        <v>3.8277343474892422E-2</v>
      </c>
    </row>
    <row r="286" spans="2:8" x14ac:dyDescent="0.35">
      <c r="B286" s="74">
        <v>44851</v>
      </c>
      <c r="C286">
        <v>17311.8</v>
      </c>
      <c r="D286" s="64">
        <f t="shared" si="8"/>
        <v>7.337495708641395E-3</v>
      </c>
      <c r="F286" s="74">
        <v>44851</v>
      </c>
      <c r="G286" s="40">
        <v>1489.95</v>
      </c>
      <c r="H286">
        <f t="shared" si="9"/>
        <v>1.0649482787858267E-2</v>
      </c>
    </row>
    <row r="287" spans="2:8" x14ac:dyDescent="0.35">
      <c r="B287" s="74">
        <v>44852</v>
      </c>
      <c r="C287">
        <v>17486.95</v>
      </c>
      <c r="D287" s="64">
        <f t="shared" si="8"/>
        <v>1.0117376587067906E-2</v>
      </c>
      <c r="F287" s="74">
        <v>44852</v>
      </c>
      <c r="G287" s="40">
        <v>1503.7</v>
      </c>
      <c r="H287">
        <f t="shared" si="9"/>
        <v>9.2284976005905239E-3</v>
      </c>
    </row>
    <row r="288" spans="2:8" x14ac:dyDescent="0.35">
      <c r="B288" s="74">
        <v>44853</v>
      </c>
      <c r="C288">
        <v>17512.25</v>
      </c>
      <c r="D288" s="64">
        <f t="shared" si="8"/>
        <v>1.4467931800570266E-3</v>
      </c>
      <c r="F288" s="74">
        <v>44853</v>
      </c>
      <c r="G288" s="40">
        <v>1485.45</v>
      </c>
      <c r="H288">
        <f t="shared" si="9"/>
        <v>-1.2136729400811341E-2</v>
      </c>
    </row>
    <row r="289" spans="2:8" x14ac:dyDescent="0.35">
      <c r="B289" s="74">
        <v>44854</v>
      </c>
      <c r="C289">
        <v>17563.95</v>
      </c>
      <c r="D289" s="64">
        <f t="shared" si="8"/>
        <v>2.9522191608730708E-3</v>
      </c>
      <c r="F289" s="74">
        <v>44854</v>
      </c>
      <c r="G289" s="40">
        <v>1500.9</v>
      </c>
      <c r="H289">
        <f t="shared" si="9"/>
        <v>1.0400888619610305E-2</v>
      </c>
    </row>
    <row r="290" spans="2:8" x14ac:dyDescent="0.35">
      <c r="B290" s="74">
        <v>44855</v>
      </c>
      <c r="C290">
        <v>17576.3</v>
      </c>
      <c r="D290" s="64">
        <f t="shared" si="8"/>
        <v>7.0314479373934091E-4</v>
      </c>
      <c r="F290" s="74">
        <v>44855</v>
      </c>
      <c r="G290" s="40">
        <v>1500.5</v>
      </c>
      <c r="H290">
        <f t="shared" si="9"/>
        <v>-2.665067626091977E-4</v>
      </c>
    </row>
    <row r="291" spans="2:8" x14ac:dyDescent="0.35">
      <c r="B291" s="74">
        <v>44858</v>
      </c>
      <c r="C291">
        <v>17730.75</v>
      </c>
      <c r="D291" s="64">
        <f t="shared" si="8"/>
        <v>8.7874012164108617E-3</v>
      </c>
      <c r="F291" s="74">
        <v>44858</v>
      </c>
      <c r="G291" s="40">
        <v>1517.85</v>
      </c>
      <c r="H291">
        <f t="shared" si="9"/>
        <v>1.1562812395867983E-2</v>
      </c>
    </row>
    <row r="292" spans="2:8" x14ac:dyDescent="0.35">
      <c r="B292" s="74">
        <v>44859</v>
      </c>
      <c r="C292">
        <v>17656.349999999999</v>
      </c>
      <c r="D292" s="64">
        <f t="shared" si="8"/>
        <v>-4.1960999957701972E-3</v>
      </c>
      <c r="F292" s="74">
        <v>44859</v>
      </c>
      <c r="G292" s="40">
        <v>1526.3</v>
      </c>
      <c r="H292">
        <f t="shared" si="9"/>
        <v>5.5670850215765455E-3</v>
      </c>
    </row>
    <row r="293" spans="2:8" x14ac:dyDescent="0.35">
      <c r="B293" s="74">
        <v>44861</v>
      </c>
      <c r="C293">
        <v>17736.95</v>
      </c>
      <c r="D293" s="64">
        <f t="shared" si="8"/>
        <v>4.5649298977423758E-3</v>
      </c>
      <c r="F293" s="74">
        <v>44861</v>
      </c>
      <c r="G293" s="40">
        <v>1523.95</v>
      </c>
      <c r="H293">
        <f t="shared" si="9"/>
        <v>-1.5396711000458252E-3</v>
      </c>
    </row>
    <row r="294" spans="2:8" x14ac:dyDescent="0.35">
      <c r="B294" s="74">
        <v>44862</v>
      </c>
      <c r="C294">
        <v>17786.8</v>
      </c>
      <c r="D294" s="64">
        <f t="shared" si="8"/>
        <v>2.8105170280121605E-3</v>
      </c>
      <c r="F294" s="74">
        <v>44862</v>
      </c>
      <c r="G294" s="40">
        <v>1513.25</v>
      </c>
      <c r="H294">
        <f t="shared" si="9"/>
        <v>-7.0212277305685689E-3</v>
      </c>
    </row>
    <row r="295" spans="2:8" x14ac:dyDescent="0.35">
      <c r="B295" s="74">
        <v>44865</v>
      </c>
      <c r="C295">
        <v>18012.2</v>
      </c>
      <c r="D295" s="64">
        <f t="shared" si="8"/>
        <v>1.2672318798210069E-2</v>
      </c>
      <c r="F295" s="74">
        <v>44865</v>
      </c>
      <c r="G295" s="40">
        <v>1537.65</v>
      </c>
      <c r="H295">
        <f t="shared" si="9"/>
        <v>1.6124235916074703E-2</v>
      </c>
    </row>
    <row r="296" spans="2:8" x14ac:dyDescent="0.35">
      <c r="B296" s="74">
        <v>44866</v>
      </c>
      <c r="C296">
        <v>18145.400000000001</v>
      </c>
      <c r="D296" s="64">
        <f t="shared" si="8"/>
        <v>7.3949878415739967E-3</v>
      </c>
      <c r="F296" s="74">
        <v>44866</v>
      </c>
      <c r="G296" s="40">
        <v>1573</v>
      </c>
      <c r="H296">
        <f t="shared" si="9"/>
        <v>2.2989627028257242E-2</v>
      </c>
    </row>
    <row r="297" spans="2:8" x14ac:dyDescent="0.35">
      <c r="B297" s="74">
        <v>44867</v>
      </c>
      <c r="C297">
        <v>18082.849999999999</v>
      </c>
      <c r="D297" s="64">
        <f t="shared" si="8"/>
        <v>-3.4471546507656159E-3</v>
      </c>
      <c r="F297" s="74">
        <v>44867</v>
      </c>
      <c r="G297" s="40">
        <v>1553.3</v>
      </c>
      <c r="H297">
        <f t="shared" si="9"/>
        <v>-1.2523839796567127E-2</v>
      </c>
    </row>
    <row r="298" spans="2:8" x14ac:dyDescent="0.35">
      <c r="B298" s="74">
        <v>44868</v>
      </c>
      <c r="C298">
        <v>18052.7</v>
      </c>
      <c r="D298" s="64">
        <f t="shared" si="8"/>
        <v>-1.6673256704555772E-3</v>
      </c>
      <c r="F298" s="74">
        <v>44868</v>
      </c>
      <c r="G298" s="40">
        <v>1530.75</v>
      </c>
      <c r="H298">
        <f t="shared" si="9"/>
        <v>-1.451747891585653E-2</v>
      </c>
    </row>
    <row r="299" spans="2:8" x14ac:dyDescent="0.35">
      <c r="B299" s="74">
        <v>44869</v>
      </c>
      <c r="C299">
        <v>18117.150000000001</v>
      </c>
      <c r="D299" s="64">
        <f t="shared" si="8"/>
        <v>3.5701030870729511E-3</v>
      </c>
      <c r="F299" s="74">
        <v>44869</v>
      </c>
      <c r="G299" s="40">
        <v>1514</v>
      </c>
      <c r="H299">
        <f t="shared" si="9"/>
        <v>-1.0942348521966405E-2</v>
      </c>
    </row>
    <row r="300" spans="2:8" x14ac:dyDescent="0.35">
      <c r="B300" s="74">
        <v>44872</v>
      </c>
      <c r="C300">
        <v>18202.8</v>
      </c>
      <c r="D300" s="64">
        <f t="shared" si="8"/>
        <v>4.7275647659812403E-3</v>
      </c>
      <c r="F300" s="74">
        <v>44872</v>
      </c>
      <c r="G300" s="40">
        <v>1507.45</v>
      </c>
      <c r="H300">
        <f t="shared" si="9"/>
        <v>-4.3262879788639186E-3</v>
      </c>
    </row>
    <row r="301" spans="2:8" x14ac:dyDescent="0.35">
      <c r="B301" s="74">
        <v>44874</v>
      </c>
      <c r="C301">
        <v>18157</v>
      </c>
      <c r="D301" s="64">
        <f t="shared" si="8"/>
        <v>-2.5160964247258333E-3</v>
      </c>
      <c r="F301" s="74">
        <v>44874</v>
      </c>
      <c r="G301" s="40">
        <v>1511.2</v>
      </c>
      <c r="H301">
        <f t="shared" si="9"/>
        <v>2.4876446980000022E-3</v>
      </c>
    </row>
    <row r="302" spans="2:8" x14ac:dyDescent="0.35">
      <c r="B302" s="74">
        <v>44875</v>
      </c>
      <c r="C302">
        <v>18028.2</v>
      </c>
      <c r="D302" s="64">
        <f t="shared" si="8"/>
        <v>-7.0936828771271943E-3</v>
      </c>
      <c r="F302" s="74">
        <v>44875</v>
      </c>
      <c r="G302" s="40">
        <v>1501.95</v>
      </c>
      <c r="H302">
        <f t="shared" si="9"/>
        <v>-6.12096347273694E-3</v>
      </c>
    </row>
    <row r="303" spans="2:8" x14ac:dyDescent="0.35">
      <c r="B303" s="74">
        <v>44876</v>
      </c>
      <c r="C303">
        <v>18349.7</v>
      </c>
      <c r="D303" s="64">
        <f t="shared" si="8"/>
        <v>1.7833172474234882E-2</v>
      </c>
      <c r="F303" s="74">
        <v>44876</v>
      </c>
      <c r="G303" s="40">
        <v>1570.1</v>
      </c>
      <c r="H303">
        <f t="shared" si="9"/>
        <v>4.5374346682645728E-2</v>
      </c>
    </row>
    <row r="304" spans="2:8" x14ac:dyDescent="0.35">
      <c r="B304" s="74">
        <v>44879</v>
      </c>
      <c r="C304">
        <v>18329.150000000001</v>
      </c>
      <c r="D304" s="64">
        <f t="shared" si="8"/>
        <v>-1.1199093173185348E-3</v>
      </c>
      <c r="F304" s="74">
        <v>44879</v>
      </c>
      <c r="G304" s="40">
        <v>1585.3</v>
      </c>
      <c r="H304">
        <f t="shared" si="9"/>
        <v>9.6809120438188234E-3</v>
      </c>
    </row>
    <row r="305" spans="2:8" x14ac:dyDescent="0.35">
      <c r="B305" s="74">
        <v>44880</v>
      </c>
      <c r="C305">
        <v>18403.400000000001</v>
      </c>
      <c r="D305" s="64">
        <f t="shared" si="8"/>
        <v>4.0509243472828249E-3</v>
      </c>
      <c r="F305" s="74">
        <v>44880</v>
      </c>
      <c r="G305" s="40">
        <v>1594</v>
      </c>
      <c r="H305">
        <f t="shared" si="9"/>
        <v>5.4879202674573691E-3</v>
      </c>
    </row>
    <row r="306" spans="2:8" x14ac:dyDescent="0.35">
      <c r="B306" s="74">
        <v>44881</v>
      </c>
      <c r="C306">
        <v>18409.650000000001</v>
      </c>
      <c r="D306" s="64">
        <f t="shared" si="8"/>
        <v>3.3961115880765114E-4</v>
      </c>
      <c r="F306" s="74">
        <v>44881</v>
      </c>
      <c r="G306" s="40">
        <v>1602.8</v>
      </c>
      <c r="H306">
        <f t="shared" si="9"/>
        <v>5.520702634880692E-3</v>
      </c>
    </row>
    <row r="307" spans="2:8" x14ac:dyDescent="0.35">
      <c r="B307" s="74">
        <v>44882</v>
      </c>
      <c r="C307">
        <v>18343.900000000001</v>
      </c>
      <c r="D307" s="64">
        <f t="shared" si="8"/>
        <v>-3.5714964706010655E-3</v>
      </c>
      <c r="F307" s="74">
        <v>44882</v>
      </c>
      <c r="G307" s="40">
        <v>1587.4</v>
      </c>
      <c r="H307">
        <f t="shared" si="9"/>
        <v>-9.6081856750684924E-3</v>
      </c>
    </row>
    <row r="308" spans="2:8" x14ac:dyDescent="0.35">
      <c r="B308" s="74">
        <v>44883</v>
      </c>
      <c r="C308">
        <v>18307.650000000001</v>
      </c>
      <c r="D308" s="64">
        <f t="shared" si="8"/>
        <v>-1.9761337556354341E-3</v>
      </c>
      <c r="F308" s="74">
        <v>44883</v>
      </c>
      <c r="G308" s="40">
        <v>1593.4</v>
      </c>
      <c r="H308">
        <f t="shared" si="9"/>
        <v>3.7797656545293101E-3</v>
      </c>
    </row>
    <row r="309" spans="2:8" x14ac:dyDescent="0.35">
      <c r="B309" s="74">
        <v>44886</v>
      </c>
      <c r="C309">
        <v>18159.95</v>
      </c>
      <c r="D309" s="64">
        <f t="shared" si="8"/>
        <v>-8.0676657025888776E-3</v>
      </c>
      <c r="F309" s="74">
        <v>44886</v>
      </c>
      <c r="G309" s="40">
        <v>1568.2</v>
      </c>
      <c r="H309">
        <f t="shared" si="9"/>
        <v>-1.5815237856156683E-2</v>
      </c>
    </row>
    <row r="310" spans="2:8" x14ac:dyDescent="0.35">
      <c r="B310" s="74">
        <v>44887</v>
      </c>
      <c r="C310">
        <v>18244.2</v>
      </c>
      <c r="D310" s="64">
        <f t="shared" si="8"/>
        <v>4.6393299541023225E-3</v>
      </c>
      <c r="F310" s="74">
        <v>44887</v>
      </c>
      <c r="G310" s="40">
        <v>1585.05</v>
      </c>
      <c r="H310">
        <f t="shared" si="9"/>
        <v>1.0744802958806199E-2</v>
      </c>
    </row>
    <row r="311" spans="2:8" x14ac:dyDescent="0.35">
      <c r="B311" s="74">
        <v>44888</v>
      </c>
      <c r="C311">
        <v>18267.25</v>
      </c>
      <c r="D311" s="64">
        <f t="shared" si="8"/>
        <v>1.2634152223720552E-3</v>
      </c>
      <c r="F311" s="74">
        <v>44888</v>
      </c>
      <c r="G311" s="40">
        <v>1583.15</v>
      </c>
      <c r="H311">
        <f t="shared" si="9"/>
        <v>-1.1987003564555287E-3</v>
      </c>
    </row>
    <row r="312" spans="2:8" x14ac:dyDescent="0.35">
      <c r="B312" s="74">
        <v>44889</v>
      </c>
      <c r="C312">
        <v>18484.099999999999</v>
      </c>
      <c r="D312" s="64">
        <f t="shared" si="8"/>
        <v>1.1870971273727493E-2</v>
      </c>
      <c r="F312" s="74">
        <v>44889</v>
      </c>
      <c r="G312" s="40">
        <v>1629.8</v>
      </c>
      <c r="H312">
        <f t="shared" si="9"/>
        <v>2.9466569813346721E-2</v>
      </c>
    </row>
    <row r="313" spans="2:8" x14ac:dyDescent="0.35">
      <c r="B313" s="74">
        <v>44890</v>
      </c>
      <c r="C313">
        <v>18512.75</v>
      </c>
      <c r="D313" s="64">
        <f t="shared" si="8"/>
        <v>1.5499807943044619E-3</v>
      </c>
      <c r="F313" s="74">
        <v>44890</v>
      </c>
      <c r="G313" s="40">
        <v>1635.65</v>
      </c>
      <c r="H313">
        <f t="shared" si="9"/>
        <v>3.5893974720826449E-3</v>
      </c>
    </row>
    <row r="314" spans="2:8" x14ac:dyDescent="0.35">
      <c r="B314" s="74">
        <v>44893</v>
      </c>
      <c r="C314">
        <v>18562.75</v>
      </c>
      <c r="D314" s="64">
        <f t="shared" si="8"/>
        <v>2.7008413120686026E-3</v>
      </c>
      <c r="F314" s="74">
        <v>44893</v>
      </c>
      <c r="G314" s="40">
        <v>1623.4</v>
      </c>
      <c r="H314">
        <f t="shared" si="9"/>
        <v>-7.4893773117721274E-3</v>
      </c>
    </row>
    <row r="315" spans="2:8" x14ac:dyDescent="0.35">
      <c r="B315" s="74">
        <v>44894</v>
      </c>
      <c r="C315">
        <v>18618.05</v>
      </c>
      <c r="D315" s="64">
        <f t="shared" si="8"/>
        <v>2.9790844567749719E-3</v>
      </c>
      <c r="F315" s="74">
        <v>44894</v>
      </c>
      <c r="G315" s="40">
        <v>1629.05</v>
      </c>
      <c r="H315">
        <f t="shared" si="9"/>
        <v>3.4803498829616419E-3</v>
      </c>
    </row>
    <row r="316" spans="2:8" x14ac:dyDescent="0.35">
      <c r="B316" s="74">
        <v>44895</v>
      </c>
      <c r="C316">
        <v>18758.349999999999</v>
      </c>
      <c r="D316" s="64">
        <f t="shared" si="8"/>
        <v>7.5356978845797506E-3</v>
      </c>
      <c r="F316" s="74">
        <v>44895</v>
      </c>
      <c r="G316" s="40">
        <v>1634.95</v>
      </c>
      <c r="H316">
        <f t="shared" si="9"/>
        <v>3.6217427334950258E-3</v>
      </c>
    </row>
    <row r="317" spans="2:8" x14ac:dyDescent="0.35">
      <c r="B317" s="74">
        <v>44896</v>
      </c>
      <c r="C317">
        <v>18812.5</v>
      </c>
      <c r="D317" s="64">
        <f t="shared" si="8"/>
        <v>2.8867144498316843E-3</v>
      </c>
      <c r="F317" s="74">
        <v>44896</v>
      </c>
      <c r="G317" s="40">
        <v>1657.1</v>
      </c>
      <c r="H317">
        <f t="shared" si="9"/>
        <v>1.3547814917887369E-2</v>
      </c>
    </row>
    <row r="318" spans="2:8" x14ac:dyDescent="0.35">
      <c r="B318" s="74">
        <v>44897</v>
      </c>
      <c r="C318">
        <v>18696.099999999999</v>
      </c>
      <c r="D318" s="64">
        <f t="shared" si="8"/>
        <v>-6.18737541528247E-3</v>
      </c>
      <c r="F318" s="74">
        <v>44897</v>
      </c>
      <c r="G318" s="40">
        <v>1637.9</v>
      </c>
      <c r="H318">
        <f t="shared" si="9"/>
        <v>-1.1586506547582975E-2</v>
      </c>
    </row>
    <row r="319" spans="2:8" x14ac:dyDescent="0.35">
      <c r="B319" s="74">
        <v>44900</v>
      </c>
      <c r="C319">
        <v>18701.05</v>
      </c>
      <c r="D319" s="64">
        <f t="shared" si="8"/>
        <v>2.6476109990847263E-4</v>
      </c>
      <c r="F319" s="74">
        <v>44900</v>
      </c>
      <c r="G319" s="40">
        <v>1639.75</v>
      </c>
      <c r="H319">
        <f t="shared" si="9"/>
        <v>1.129495085169907E-3</v>
      </c>
    </row>
    <row r="320" spans="2:8" x14ac:dyDescent="0.35">
      <c r="B320" s="74">
        <v>44901</v>
      </c>
      <c r="C320">
        <v>18642.75</v>
      </c>
      <c r="D320" s="64">
        <f t="shared" si="8"/>
        <v>-3.1174720136034617E-3</v>
      </c>
      <c r="F320" s="74">
        <v>44901</v>
      </c>
      <c r="G320" s="40">
        <v>1612.9</v>
      </c>
      <c r="H320">
        <f t="shared" si="9"/>
        <v>-1.6374447324287167E-2</v>
      </c>
    </row>
    <row r="321" spans="2:8" x14ac:dyDescent="0.35">
      <c r="B321" s="74">
        <v>44902</v>
      </c>
      <c r="C321">
        <v>18560.5</v>
      </c>
      <c r="D321" s="64">
        <f t="shared" si="8"/>
        <v>-4.4119027503989328E-3</v>
      </c>
      <c r="F321" s="74">
        <v>44902</v>
      </c>
      <c r="G321" s="40">
        <v>1605.5</v>
      </c>
      <c r="H321">
        <f t="shared" si="9"/>
        <v>-4.5880091760184261E-3</v>
      </c>
    </row>
    <row r="322" spans="2:8" x14ac:dyDescent="0.35">
      <c r="B322" s="74">
        <v>44903</v>
      </c>
      <c r="C322">
        <v>18609.349999999999</v>
      </c>
      <c r="D322" s="64">
        <f t="shared" si="8"/>
        <v>2.6319334069664357E-3</v>
      </c>
      <c r="F322" s="74">
        <v>44903</v>
      </c>
      <c r="G322" s="40">
        <v>1620.15</v>
      </c>
      <c r="H322">
        <f t="shared" si="9"/>
        <v>9.1248832139521063E-3</v>
      </c>
    </row>
    <row r="323" spans="2:8" x14ac:dyDescent="0.35">
      <c r="B323" s="74">
        <v>44904</v>
      </c>
      <c r="C323">
        <v>18496.599999999999</v>
      </c>
      <c r="D323" s="64">
        <f t="shared" si="8"/>
        <v>-6.058782278800745E-3</v>
      </c>
      <c r="F323" s="74">
        <v>44904</v>
      </c>
      <c r="G323" s="40">
        <v>1569.3</v>
      </c>
      <c r="H323">
        <f t="shared" si="9"/>
        <v>-3.1385982779372323E-2</v>
      </c>
    </row>
    <row r="324" spans="2:8" x14ac:dyDescent="0.35">
      <c r="B324" s="74">
        <v>44907</v>
      </c>
      <c r="C324">
        <v>18497.150000000001</v>
      </c>
      <c r="D324" s="64">
        <f t="shared" si="8"/>
        <v>2.9735194576385737E-5</v>
      </c>
      <c r="F324" s="74">
        <v>44907</v>
      </c>
      <c r="G324" s="40">
        <v>1547.2</v>
      </c>
      <c r="H324">
        <f t="shared" si="9"/>
        <v>-1.4082712037214007E-2</v>
      </c>
    </row>
    <row r="325" spans="2:8" x14ac:dyDescent="0.35">
      <c r="B325" s="74">
        <v>44908</v>
      </c>
      <c r="C325">
        <v>18608</v>
      </c>
      <c r="D325" s="64">
        <f t="shared" si="8"/>
        <v>5.9928151093546767E-3</v>
      </c>
      <c r="F325" s="74">
        <v>44908</v>
      </c>
      <c r="G325" s="40">
        <v>1572.15</v>
      </c>
      <c r="H325">
        <f t="shared" si="9"/>
        <v>1.6125904860393003E-2</v>
      </c>
    </row>
    <row r="326" spans="2:8" x14ac:dyDescent="0.35">
      <c r="B326" s="74">
        <v>44909</v>
      </c>
      <c r="C326">
        <v>18660.3</v>
      </c>
      <c r="D326" s="64">
        <f t="shared" si="8"/>
        <v>2.8106190885639482E-3</v>
      </c>
      <c r="F326" s="74">
        <v>44909</v>
      </c>
      <c r="G326" s="40">
        <v>1579.4</v>
      </c>
      <c r="H326">
        <f t="shared" si="9"/>
        <v>4.611519257068375E-3</v>
      </c>
    </row>
    <row r="327" spans="2:8" x14ac:dyDescent="0.35">
      <c r="B327" s="74">
        <v>44910</v>
      </c>
      <c r="C327">
        <v>18414.900000000001</v>
      </c>
      <c r="D327" s="64">
        <f t="shared" ref="D327:D390" si="10">C327/C326-1</f>
        <v>-1.3150913972444056E-2</v>
      </c>
      <c r="F327" s="74">
        <v>44910</v>
      </c>
      <c r="G327" s="40">
        <v>1540.5</v>
      </c>
      <c r="H327">
        <f t="shared" ref="H327:H390" si="11">G327/G326-1</f>
        <v>-2.4629606179561891E-2</v>
      </c>
    </row>
    <row r="328" spans="2:8" x14ac:dyDescent="0.35">
      <c r="B328" s="74">
        <v>44911</v>
      </c>
      <c r="C328">
        <v>18269</v>
      </c>
      <c r="D328" s="64">
        <f t="shared" si="10"/>
        <v>-7.9229319735649728E-3</v>
      </c>
      <c r="F328" s="74">
        <v>44911</v>
      </c>
      <c r="G328" s="40">
        <v>1522.2</v>
      </c>
      <c r="H328">
        <f t="shared" si="11"/>
        <v>-1.1879259980525747E-2</v>
      </c>
    </row>
    <row r="329" spans="2:8" x14ac:dyDescent="0.35">
      <c r="B329" s="74">
        <v>44914</v>
      </c>
      <c r="C329">
        <v>18420.45</v>
      </c>
      <c r="D329" s="64">
        <f t="shared" si="10"/>
        <v>8.2899994526246523E-3</v>
      </c>
      <c r="F329" s="74">
        <v>44914</v>
      </c>
      <c r="G329" s="40">
        <v>1507.35</v>
      </c>
      <c r="H329">
        <f t="shared" si="11"/>
        <v>-9.7556168703193391E-3</v>
      </c>
    </row>
    <row r="330" spans="2:8" x14ac:dyDescent="0.35">
      <c r="B330" s="74">
        <v>44915</v>
      </c>
      <c r="C330">
        <v>18385.3</v>
      </c>
      <c r="D330" s="64">
        <f t="shared" si="10"/>
        <v>-1.9082052827157359E-3</v>
      </c>
      <c r="F330" s="74">
        <v>44915</v>
      </c>
      <c r="G330" s="40">
        <v>1507.3</v>
      </c>
      <c r="H330">
        <f t="shared" si="11"/>
        <v>-3.317079643083698E-5</v>
      </c>
    </row>
    <row r="331" spans="2:8" x14ac:dyDescent="0.35">
      <c r="B331" s="74">
        <v>44916</v>
      </c>
      <c r="C331">
        <v>18199.099999999999</v>
      </c>
      <c r="D331" s="64">
        <f t="shared" si="10"/>
        <v>-1.0127656334136592E-2</v>
      </c>
      <c r="F331" s="74">
        <v>44916</v>
      </c>
      <c r="G331" s="40">
        <v>1509.55</v>
      </c>
      <c r="H331">
        <f t="shared" si="11"/>
        <v>1.4927353546074773E-3</v>
      </c>
    </row>
    <row r="332" spans="2:8" x14ac:dyDescent="0.35">
      <c r="B332" s="74">
        <v>44917</v>
      </c>
      <c r="C332">
        <v>18127.349999999999</v>
      </c>
      <c r="D332" s="64">
        <f t="shared" si="10"/>
        <v>-3.9425026512299732E-3</v>
      </c>
      <c r="F332" s="74">
        <v>44917</v>
      </c>
      <c r="G332" s="40">
        <v>1522.05</v>
      </c>
      <c r="H332">
        <f t="shared" si="11"/>
        <v>8.280613427842809E-3</v>
      </c>
    </row>
    <row r="333" spans="2:8" x14ac:dyDescent="0.35">
      <c r="B333" s="74">
        <v>44918</v>
      </c>
      <c r="C333">
        <v>17806.8</v>
      </c>
      <c r="D333" s="64">
        <f t="shared" si="10"/>
        <v>-1.7683224519855267E-2</v>
      </c>
      <c r="F333" s="74">
        <v>44918</v>
      </c>
      <c r="G333" s="40">
        <v>1497.1</v>
      </c>
      <c r="H333">
        <f t="shared" si="11"/>
        <v>-1.6392365559607103E-2</v>
      </c>
    </row>
    <row r="334" spans="2:8" x14ac:dyDescent="0.35">
      <c r="B334" s="74">
        <v>44921</v>
      </c>
      <c r="C334">
        <v>18014.599999999999</v>
      </c>
      <c r="D334" s="64">
        <f t="shared" si="10"/>
        <v>1.1669699216029894E-2</v>
      </c>
      <c r="F334" s="74">
        <v>44921</v>
      </c>
      <c r="G334" s="40">
        <v>1502.4</v>
      </c>
      <c r="H334">
        <f t="shared" si="11"/>
        <v>3.5401776768420046E-3</v>
      </c>
    </row>
    <row r="335" spans="2:8" x14ac:dyDescent="0.35">
      <c r="B335" s="74">
        <v>44922</v>
      </c>
      <c r="C335">
        <v>18132.3</v>
      </c>
      <c r="D335" s="64">
        <f t="shared" si="10"/>
        <v>6.5335894219133994E-3</v>
      </c>
      <c r="F335" s="74">
        <v>44922</v>
      </c>
      <c r="G335" s="40">
        <v>1514.85</v>
      </c>
      <c r="H335">
        <f t="shared" si="11"/>
        <v>8.2867412140574803E-3</v>
      </c>
    </row>
    <row r="336" spans="2:8" x14ac:dyDescent="0.35">
      <c r="B336" s="74">
        <v>44923</v>
      </c>
      <c r="C336">
        <v>18122.5</v>
      </c>
      <c r="D336" s="64">
        <f t="shared" si="10"/>
        <v>-5.4047197542506087E-4</v>
      </c>
      <c r="F336" s="74">
        <v>44923</v>
      </c>
      <c r="G336" s="40">
        <v>1510.15</v>
      </c>
      <c r="H336">
        <f t="shared" si="11"/>
        <v>-3.1026174208665935E-3</v>
      </c>
    </row>
    <row r="337" spans="2:8" x14ac:dyDescent="0.35">
      <c r="B337" s="74">
        <v>44924</v>
      </c>
      <c r="C337">
        <v>18191</v>
      </c>
      <c r="D337" s="64">
        <f t="shared" si="10"/>
        <v>3.7798317009243299E-3</v>
      </c>
      <c r="F337" s="74">
        <v>44924</v>
      </c>
      <c r="G337" s="40">
        <v>1517.55</v>
      </c>
      <c r="H337">
        <f t="shared" si="11"/>
        <v>4.9001754792570296E-3</v>
      </c>
    </row>
    <row r="338" spans="2:8" x14ac:dyDescent="0.35">
      <c r="B338" s="74">
        <v>44925</v>
      </c>
      <c r="C338">
        <v>18105.3</v>
      </c>
      <c r="D338" s="64">
        <f t="shared" si="10"/>
        <v>-4.7111208839536456E-3</v>
      </c>
      <c r="F338" s="74">
        <v>44925</v>
      </c>
      <c r="G338" s="40">
        <v>1508.2</v>
      </c>
      <c r="H338">
        <f t="shared" si="11"/>
        <v>-6.161246746400395E-3</v>
      </c>
    </row>
    <row r="339" spans="2:8" x14ac:dyDescent="0.35">
      <c r="B339" s="74">
        <v>44928</v>
      </c>
      <c r="C339">
        <v>18197.45</v>
      </c>
      <c r="D339" s="64">
        <f t="shared" si="10"/>
        <v>5.0896698756719427E-3</v>
      </c>
      <c r="F339" s="74">
        <v>44928</v>
      </c>
      <c r="G339" s="40">
        <v>1524</v>
      </c>
      <c r="H339">
        <f t="shared" si="11"/>
        <v>1.0476064182469047E-2</v>
      </c>
    </row>
    <row r="340" spans="2:8" x14ac:dyDescent="0.35">
      <c r="B340" s="74">
        <v>44929</v>
      </c>
      <c r="C340">
        <v>18232.55</v>
      </c>
      <c r="D340" s="64">
        <f t="shared" si="10"/>
        <v>1.9288416783669327E-3</v>
      </c>
      <c r="F340" s="74">
        <v>44929</v>
      </c>
      <c r="G340" s="40">
        <v>1522.55</v>
      </c>
      <c r="H340">
        <f t="shared" si="11"/>
        <v>-9.5144356955378928E-4</v>
      </c>
    </row>
    <row r="341" spans="2:8" x14ac:dyDescent="0.35">
      <c r="B341" s="74">
        <v>44930</v>
      </c>
      <c r="C341">
        <v>18042.95</v>
      </c>
      <c r="D341" s="64">
        <f t="shared" si="10"/>
        <v>-1.0398984234240349E-2</v>
      </c>
      <c r="F341" s="74">
        <v>44930</v>
      </c>
      <c r="G341" s="40">
        <v>1494.8</v>
      </c>
      <c r="H341">
        <f t="shared" si="11"/>
        <v>-1.8226002430133614E-2</v>
      </c>
    </row>
    <row r="342" spans="2:8" x14ac:dyDescent="0.35">
      <c r="B342" s="74">
        <v>44931</v>
      </c>
      <c r="C342">
        <v>17992.150000000001</v>
      </c>
      <c r="D342" s="64">
        <f t="shared" si="10"/>
        <v>-2.8155041165662809E-3</v>
      </c>
      <c r="F342" s="74">
        <v>44931</v>
      </c>
      <c r="G342" s="40">
        <v>1475.2</v>
      </c>
      <c r="H342">
        <f t="shared" si="11"/>
        <v>-1.311212202301304E-2</v>
      </c>
    </row>
    <row r="343" spans="2:8" x14ac:dyDescent="0.35">
      <c r="B343" s="74">
        <v>44932</v>
      </c>
      <c r="C343">
        <v>17859.45</v>
      </c>
      <c r="D343" s="64">
        <f t="shared" si="10"/>
        <v>-7.3754387330030591E-3</v>
      </c>
      <c r="F343" s="74">
        <v>44932</v>
      </c>
      <c r="G343" s="40">
        <v>1448.5</v>
      </c>
      <c r="H343">
        <f t="shared" si="11"/>
        <v>-1.8099240780911074E-2</v>
      </c>
    </row>
    <row r="344" spans="2:8" x14ac:dyDescent="0.35">
      <c r="B344" s="74">
        <v>44935</v>
      </c>
      <c r="C344">
        <v>18101.2</v>
      </c>
      <c r="D344" s="64">
        <f t="shared" si="10"/>
        <v>1.3536251116355702E-2</v>
      </c>
      <c r="F344" s="74">
        <v>44935</v>
      </c>
      <c r="G344" s="40">
        <v>1484.45</v>
      </c>
      <c r="H344">
        <f t="shared" si="11"/>
        <v>2.4818778046254764E-2</v>
      </c>
    </row>
    <row r="345" spans="2:8" x14ac:dyDescent="0.35">
      <c r="B345" s="74">
        <v>44936</v>
      </c>
      <c r="C345">
        <v>17914.150000000001</v>
      </c>
      <c r="D345" s="64">
        <f t="shared" si="10"/>
        <v>-1.0333569045146151E-2</v>
      </c>
      <c r="F345" s="74">
        <v>44936</v>
      </c>
      <c r="G345" s="40">
        <v>1469.75</v>
      </c>
      <c r="H345">
        <f t="shared" si="11"/>
        <v>-9.9026575499343572E-3</v>
      </c>
    </row>
    <row r="346" spans="2:8" x14ac:dyDescent="0.35">
      <c r="B346" s="74">
        <v>44937</v>
      </c>
      <c r="C346">
        <v>17895.7</v>
      </c>
      <c r="D346" s="64">
        <f t="shared" si="10"/>
        <v>-1.0299121085846075E-3</v>
      </c>
      <c r="F346" s="74">
        <v>44937</v>
      </c>
      <c r="G346" s="40">
        <v>1471.25</v>
      </c>
      <c r="H346">
        <f t="shared" si="11"/>
        <v>1.0205817315869226E-3</v>
      </c>
    </row>
    <row r="347" spans="2:8" x14ac:dyDescent="0.35">
      <c r="B347" s="74">
        <v>44938</v>
      </c>
      <c r="C347">
        <v>17858.2</v>
      </c>
      <c r="D347" s="64">
        <f t="shared" si="10"/>
        <v>-2.0954754494096894E-3</v>
      </c>
      <c r="F347" s="74">
        <v>44938</v>
      </c>
      <c r="G347" s="40">
        <v>1480.6</v>
      </c>
      <c r="H347">
        <f t="shared" si="11"/>
        <v>6.355140186915742E-3</v>
      </c>
    </row>
    <row r="348" spans="2:8" x14ac:dyDescent="0.35">
      <c r="B348" s="74">
        <v>44939</v>
      </c>
      <c r="C348">
        <v>17956.599999999999</v>
      </c>
      <c r="D348" s="64">
        <f t="shared" si="10"/>
        <v>5.5100738036306662E-3</v>
      </c>
      <c r="F348" s="74">
        <v>44939</v>
      </c>
      <c r="G348" s="40">
        <v>1503.65</v>
      </c>
      <c r="H348">
        <f t="shared" si="11"/>
        <v>1.5568012967715816E-2</v>
      </c>
    </row>
    <row r="349" spans="2:8" x14ac:dyDescent="0.35">
      <c r="B349" s="74">
        <v>44942</v>
      </c>
      <c r="C349">
        <v>17894.849999999999</v>
      </c>
      <c r="D349" s="64">
        <f t="shared" si="10"/>
        <v>-3.4388469977613134E-3</v>
      </c>
      <c r="F349" s="74">
        <v>44942</v>
      </c>
      <c r="G349" s="40">
        <v>1525.5</v>
      </c>
      <c r="H349">
        <f t="shared" si="11"/>
        <v>1.4531307152595208E-2</v>
      </c>
    </row>
    <row r="350" spans="2:8" x14ac:dyDescent="0.35">
      <c r="B350" s="74">
        <v>44943</v>
      </c>
      <c r="C350">
        <v>18053.3</v>
      </c>
      <c r="D350" s="64">
        <f t="shared" si="10"/>
        <v>8.8545028318203212E-3</v>
      </c>
      <c r="F350" s="74">
        <v>44943</v>
      </c>
      <c r="G350" s="40">
        <v>1539.5</v>
      </c>
      <c r="H350">
        <f t="shared" si="11"/>
        <v>9.1773189118322662E-3</v>
      </c>
    </row>
    <row r="351" spans="2:8" x14ac:dyDescent="0.35">
      <c r="B351" s="74">
        <v>44944</v>
      </c>
      <c r="C351">
        <v>18165.349999999999</v>
      </c>
      <c r="D351" s="64">
        <f t="shared" si="10"/>
        <v>6.2066215041016726E-3</v>
      </c>
      <c r="F351" s="74">
        <v>44944</v>
      </c>
      <c r="G351" s="40">
        <v>1545.4</v>
      </c>
      <c r="H351">
        <f t="shared" si="11"/>
        <v>3.8324131211433521E-3</v>
      </c>
    </row>
    <row r="352" spans="2:8" x14ac:dyDescent="0.35">
      <c r="B352" s="74">
        <v>44945</v>
      </c>
      <c r="C352">
        <v>18107.849999999999</v>
      </c>
      <c r="D352" s="64">
        <f t="shared" si="10"/>
        <v>-3.1653670311885262E-3</v>
      </c>
      <c r="F352" s="74">
        <v>44945</v>
      </c>
      <c r="G352" s="40">
        <v>1538.9</v>
      </c>
      <c r="H352">
        <f t="shared" si="11"/>
        <v>-4.2060308010870573E-3</v>
      </c>
    </row>
    <row r="353" spans="2:8" x14ac:dyDescent="0.35">
      <c r="B353" s="74">
        <v>44946</v>
      </c>
      <c r="C353">
        <v>18027.650000000001</v>
      </c>
      <c r="D353" s="64">
        <f t="shared" si="10"/>
        <v>-4.4290183539181793E-3</v>
      </c>
      <c r="F353" s="74">
        <v>44946</v>
      </c>
      <c r="G353" s="40">
        <v>1525.55</v>
      </c>
      <c r="H353">
        <f t="shared" si="11"/>
        <v>-8.6750276171292384E-3</v>
      </c>
    </row>
    <row r="354" spans="2:8" x14ac:dyDescent="0.35">
      <c r="B354" s="74">
        <v>44949</v>
      </c>
      <c r="C354">
        <v>18118.55</v>
      </c>
      <c r="D354" s="64">
        <f t="shared" si="10"/>
        <v>5.0422545367809768E-3</v>
      </c>
      <c r="F354" s="74">
        <v>44949</v>
      </c>
      <c r="G354" s="40">
        <v>1548</v>
      </c>
      <c r="H354">
        <f t="shared" si="11"/>
        <v>1.4716004064108112E-2</v>
      </c>
    </row>
    <row r="355" spans="2:8" x14ac:dyDescent="0.35">
      <c r="B355" s="74">
        <v>44950</v>
      </c>
      <c r="C355">
        <v>18118.3</v>
      </c>
      <c r="D355" s="64">
        <f t="shared" si="10"/>
        <v>-1.3798013637988937E-5</v>
      </c>
      <c r="F355" s="74">
        <v>44950</v>
      </c>
      <c r="G355" s="40">
        <v>1551.9</v>
      </c>
      <c r="H355">
        <f t="shared" si="11"/>
        <v>2.5193798449612004E-3</v>
      </c>
    </row>
    <row r="356" spans="2:8" x14ac:dyDescent="0.35">
      <c r="B356" s="74">
        <v>44951</v>
      </c>
      <c r="C356">
        <v>17891.95</v>
      </c>
      <c r="D356" s="64">
        <f t="shared" si="10"/>
        <v>-1.2492893924926696E-2</v>
      </c>
      <c r="F356" s="74">
        <v>44951</v>
      </c>
      <c r="G356" s="40">
        <v>1543</v>
      </c>
      <c r="H356">
        <f t="shared" si="11"/>
        <v>-5.7349055995876697E-3</v>
      </c>
    </row>
    <row r="357" spans="2:8" x14ac:dyDescent="0.35">
      <c r="B357" s="74">
        <v>44953</v>
      </c>
      <c r="C357">
        <v>17604.349999999999</v>
      </c>
      <c r="D357" s="64">
        <f t="shared" si="10"/>
        <v>-1.6074268036742945E-2</v>
      </c>
      <c r="F357" s="74">
        <v>44953</v>
      </c>
      <c r="G357" s="40">
        <v>1519.15</v>
      </c>
      <c r="H357">
        <f t="shared" si="11"/>
        <v>-1.5456902138690776E-2</v>
      </c>
    </row>
    <row r="358" spans="2:8" x14ac:dyDescent="0.35">
      <c r="B358" s="74">
        <v>44956</v>
      </c>
      <c r="C358">
        <v>17648.95</v>
      </c>
      <c r="D358" s="64">
        <f t="shared" si="10"/>
        <v>2.5334647402490695E-3</v>
      </c>
      <c r="F358" s="74">
        <v>44956</v>
      </c>
      <c r="G358" s="40">
        <v>1538.8</v>
      </c>
      <c r="H358">
        <f t="shared" si="11"/>
        <v>1.2934864891551046E-2</v>
      </c>
    </row>
    <row r="359" spans="2:8" x14ac:dyDescent="0.35">
      <c r="B359" s="74">
        <v>44957</v>
      </c>
      <c r="C359">
        <v>17662.150000000001</v>
      </c>
      <c r="D359" s="64">
        <f t="shared" si="10"/>
        <v>7.4791984792299537E-4</v>
      </c>
      <c r="F359" s="74">
        <v>44957</v>
      </c>
      <c r="G359" s="40">
        <v>1533.75</v>
      </c>
      <c r="H359">
        <f t="shared" si="11"/>
        <v>-3.2817780088379989E-3</v>
      </c>
    </row>
    <row r="360" spans="2:8" x14ac:dyDescent="0.35">
      <c r="B360" s="74">
        <v>44958</v>
      </c>
      <c r="C360">
        <v>17616.3</v>
      </c>
      <c r="D360" s="64">
        <f t="shared" si="10"/>
        <v>-2.5959466995808533E-3</v>
      </c>
      <c r="F360" s="74">
        <v>44958</v>
      </c>
      <c r="G360" s="40">
        <v>1551.1</v>
      </c>
      <c r="H360">
        <f t="shared" si="11"/>
        <v>1.1312143439282663E-2</v>
      </c>
    </row>
    <row r="361" spans="2:8" x14ac:dyDescent="0.35">
      <c r="B361" s="74">
        <v>44959</v>
      </c>
      <c r="C361">
        <v>17610.400000000001</v>
      </c>
      <c r="D361" s="64">
        <f t="shared" si="10"/>
        <v>-3.3491709382771351E-4</v>
      </c>
      <c r="F361" s="74">
        <v>44959</v>
      </c>
      <c r="G361" s="40">
        <v>1583.75</v>
      </c>
      <c r="H361">
        <f t="shared" si="11"/>
        <v>2.1049577719038259E-2</v>
      </c>
    </row>
    <row r="362" spans="2:8" x14ac:dyDescent="0.35">
      <c r="B362" s="74">
        <v>44960</v>
      </c>
      <c r="C362">
        <v>17854.05</v>
      </c>
      <c r="D362" s="64">
        <f t="shared" si="10"/>
        <v>1.3835574433289199E-2</v>
      </c>
      <c r="F362" s="74">
        <v>44960</v>
      </c>
      <c r="G362" s="40">
        <v>1599.4</v>
      </c>
      <c r="H362">
        <f t="shared" si="11"/>
        <v>9.8816101026046876E-3</v>
      </c>
    </row>
    <row r="363" spans="2:8" x14ac:dyDescent="0.35">
      <c r="B363" s="74">
        <v>44963</v>
      </c>
      <c r="C363">
        <v>17764.599999999999</v>
      </c>
      <c r="D363" s="64">
        <f t="shared" si="10"/>
        <v>-5.0100677437332486E-3</v>
      </c>
      <c r="F363" s="74">
        <v>44963</v>
      </c>
      <c r="G363" s="40">
        <v>1569.85</v>
      </c>
      <c r="H363">
        <f t="shared" si="11"/>
        <v>-1.8475678379392346E-2</v>
      </c>
    </row>
    <row r="364" spans="2:8" x14ac:dyDescent="0.35">
      <c r="B364" s="74">
        <v>44964</v>
      </c>
      <c r="C364">
        <v>17721.5</v>
      </c>
      <c r="D364" s="64">
        <f t="shared" si="10"/>
        <v>-2.4261734010334601E-3</v>
      </c>
      <c r="F364" s="74">
        <v>44964</v>
      </c>
      <c r="G364" s="40">
        <v>1562.4</v>
      </c>
      <c r="H364">
        <f t="shared" si="11"/>
        <v>-4.745676338503535E-3</v>
      </c>
    </row>
    <row r="365" spans="2:8" x14ac:dyDescent="0.35">
      <c r="B365" s="74">
        <v>44965</v>
      </c>
      <c r="C365">
        <v>17871.7</v>
      </c>
      <c r="D365" s="64">
        <f t="shared" si="10"/>
        <v>8.475580509550662E-3</v>
      </c>
      <c r="F365" s="74">
        <v>44965</v>
      </c>
      <c r="G365" s="40">
        <v>1590.5</v>
      </c>
      <c r="H365">
        <f t="shared" si="11"/>
        <v>1.7985151049667136E-2</v>
      </c>
    </row>
    <row r="366" spans="2:8" x14ac:dyDescent="0.35">
      <c r="B366" s="74">
        <v>44966</v>
      </c>
      <c r="C366">
        <v>17893.45</v>
      </c>
      <c r="D366" s="64">
        <f t="shared" si="10"/>
        <v>1.2170078951638796E-3</v>
      </c>
      <c r="F366" s="74">
        <v>44966</v>
      </c>
      <c r="G366" s="40">
        <v>1617</v>
      </c>
      <c r="H366">
        <f t="shared" si="11"/>
        <v>1.6661427224143432E-2</v>
      </c>
    </row>
    <row r="367" spans="2:8" x14ac:dyDescent="0.35">
      <c r="B367" s="74">
        <v>44967</v>
      </c>
      <c r="C367">
        <v>17856.5</v>
      </c>
      <c r="D367" s="64">
        <f t="shared" si="10"/>
        <v>-2.0650014390740656E-3</v>
      </c>
      <c r="F367" s="74">
        <v>44967</v>
      </c>
      <c r="G367" s="40">
        <v>1608.55</v>
      </c>
      <c r="H367">
        <f t="shared" si="11"/>
        <v>-5.2257266542981018E-3</v>
      </c>
    </row>
    <row r="368" spans="2:8" x14ac:dyDescent="0.35">
      <c r="B368" s="74">
        <v>44970</v>
      </c>
      <c r="C368">
        <v>17770.900000000001</v>
      </c>
      <c r="D368" s="64">
        <f t="shared" si="10"/>
        <v>-4.7937725758125938E-3</v>
      </c>
      <c r="F368" s="74">
        <v>44970</v>
      </c>
      <c r="G368" s="40">
        <v>1567.45</v>
      </c>
      <c r="H368">
        <f t="shared" si="11"/>
        <v>-2.5550962046563597E-2</v>
      </c>
    </row>
    <row r="369" spans="2:8" x14ac:dyDescent="0.35">
      <c r="B369" s="74">
        <v>44971</v>
      </c>
      <c r="C369">
        <v>17929.849999999999</v>
      </c>
      <c r="D369" s="64">
        <f t="shared" si="10"/>
        <v>8.9443978639234256E-3</v>
      </c>
      <c r="F369" s="74">
        <v>44971</v>
      </c>
      <c r="G369" s="40">
        <v>1593.25</v>
      </c>
      <c r="H369">
        <f t="shared" si="11"/>
        <v>1.6459855178793559E-2</v>
      </c>
    </row>
    <row r="370" spans="2:8" x14ac:dyDescent="0.35">
      <c r="B370" s="74">
        <v>44972</v>
      </c>
      <c r="C370">
        <v>18015.849999999999</v>
      </c>
      <c r="D370" s="64">
        <f t="shared" si="10"/>
        <v>4.7964706899388254E-3</v>
      </c>
      <c r="F370" s="74">
        <v>44972</v>
      </c>
      <c r="G370" s="40">
        <v>1597.05</v>
      </c>
      <c r="H370">
        <f t="shared" si="11"/>
        <v>2.3850619802290307E-3</v>
      </c>
    </row>
    <row r="371" spans="2:8" x14ac:dyDescent="0.35">
      <c r="B371" s="74">
        <v>44973</v>
      </c>
      <c r="C371">
        <v>18035.849999999999</v>
      </c>
      <c r="D371" s="64">
        <f t="shared" si="10"/>
        <v>1.1101335768226583E-3</v>
      </c>
      <c r="F371" s="74">
        <v>44973</v>
      </c>
      <c r="G371" s="40">
        <v>1601.8</v>
      </c>
      <c r="H371">
        <f t="shared" si="11"/>
        <v>2.974233743464616E-3</v>
      </c>
    </row>
    <row r="372" spans="2:8" x14ac:dyDescent="0.35">
      <c r="B372" s="74">
        <v>44974</v>
      </c>
      <c r="C372">
        <v>17944.2</v>
      </c>
      <c r="D372" s="64">
        <f t="shared" si="10"/>
        <v>-5.0815459210404867E-3</v>
      </c>
      <c r="F372" s="74">
        <v>44974</v>
      </c>
      <c r="G372" s="40">
        <v>1583.8</v>
      </c>
      <c r="H372">
        <f t="shared" si="11"/>
        <v>-1.1237357972281203E-2</v>
      </c>
    </row>
    <row r="373" spans="2:8" x14ac:dyDescent="0.35">
      <c r="B373" s="74">
        <v>44977</v>
      </c>
      <c r="C373">
        <v>17844.599999999999</v>
      </c>
      <c r="D373" s="64">
        <f t="shared" si="10"/>
        <v>-5.5505400073562194E-3</v>
      </c>
      <c r="F373" s="74">
        <v>44977</v>
      </c>
      <c r="G373" s="40">
        <v>1592.45</v>
      </c>
      <c r="H373">
        <f t="shared" si="11"/>
        <v>5.4615481752746664E-3</v>
      </c>
    </row>
    <row r="374" spans="2:8" x14ac:dyDescent="0.35">
      <c r="B374" s="74">
        <v>44978</v>
      </c>
      <c r="C374">
        <v>17826.7</v>
      </c>
      <c r="D374" s="64">
        <f t="shared" si="10"/>
        <v>-1.0031045806573324E-3</v>
      </c>
      <c r="F374" s="74">
        <v>44978</v>
      </c>
      <c r="G374" s="40">
        <v>1579.5</v>
      </c>
      <c r="H374">
        <f t="shared" si="11"/>
        <v>-8.1321234575654211E-3</v>
      </c>
    </row>
    <row r="375" spans="2:8" x14ac:dyDescent="0.35">
      <c r="B375" s="74">
        <v>44979</v>
      </c>
      <c r="C375">
        <v>17554.3</v>
      </c>
      <c r="D375" s="64">
        <f t="shared" si="10"/>
        <v>-1.528045011134993E-2</v>
      </c>
      <c r="F375" s="74">
        <v>44979</v>
      </c>
      <c r="G375" s="40">
        <v>1561.8</v>
      </c>
      <c r="H375">
        <f t="shared" si="11"/>
        <v>-1.1206077872744524E-2</v>
      </c>
    </row>
    <row r="376" spans="2:8" x14ac:dyDescent="0.35">
      <c r="B376" s="74">
        <v>44980</v>
      </c>
      <c r="C376">
        <v>17511.25</v>
      </c>
      <c r="D376" s="64">
        <f t="shared" si="10"/>
        <v>-2.4523905823643499E-3</v>
      </c>
      <c r="F376" s="74">
        <v>44980</v>
      </c>
      <c r="G376" s="40">
        <v>1550.7</v>
      </c>
      <c r="H376">
        <f t="shared" si="11"/>
        <v>-7.1071840184402379E-3</v>
      </c>
    </row>
    <row r="377" spans="2:8" x14ac:dyDescent="0.35">
      <c r="B377" s="74">
        <v>44981</v>
      </c>
      <c r="C377">
        <v>17465.8</v>
      </c>
      <c r="D377" s="64">
        <f t="shared" si="10"/>
        <v>-2.5954743379256184E-3</v>
      </c>
      <c r="F377" s="74">
        <v>44981</v>
      </c>
      <c r="G377" s="40">
        <v>1550.65</v>
      </c>
      <c r="H377">
        <f t="shared" si="11"/>
        <v>-3.2243502934181656E-5</v>
      </c>
    </row>
    <row r="378" spans="2:8" x14ac:dyDescent="0.35">
      <c r="B378" s="74">
        <v>44984</v>
      </c>
      <c r="C378">
        <v>17392.7</v>
      </c>
      <c r="D378" s="64">
        <f t="shared" si="10"/>
        <v>-4.1853221724741374E-3</v>
      </c>
      <c r="F378" s="74">
        <v>44984</v>
      </c>
      <c r="G378" s="40">
        <v>1509.3</v>
      </c>
      <c r="H378">
        <f t="shared" si="11"/>
        <v>-2.6666236739431914E-2</v>
      </c>
    </row>
    <row r="379" spans="2:8" x14ac:dyDescent="0.35">
      <c r="B379" s="74">
        <v>44985</v>
      </c>
      <c r="C379">
        <v>17303.95</v>
      </c>
      <c r="D379" s="64">
        <f t="shared" si="10"/>
        <v>-5.1027155070805241E-3</v>
      </c>
      <c r="F379" s="74">
        <v>44985</v>
      </c>
      <c r="G379" s="40">
        <v>1487.55</v>
      </c>
      <c r="H379">
        <f t="shared" si="11"/>
        <v>-1.4410653945537644E-2</v>
      </c>
    </row>
    <row r="380" spans="2:8" x14ac:dyDescent="0.35">
      <c r="B380" s="74">
        <v>44986</v>
      </c>
      <c r="C380">
        <v>17450.900000000001</v>
      </c>
      <c r="D380" s="64">
        <f t="shared" si="10"/>
        <v>8.4922806642413473E-3</v>
      </c>
      <c r="F380" s="74">
        <v>44986</v>
      </c>
      <c r="G380" s="40">
        <v>1496.05</v>
      </c>
      <c r="H380">
        <f t="shared" si="11"/>
        <v>5.7140936439110668E-3</v>
      </c>
    </row>
    <row r="381" spans="2:8" x14ac:dyDescent="0.35">
      <c r="B381" s="74">
        <v>44987</v>
      </c>
      <c r="C381">
        <v>17321.900000000001</v>
      </c>
      <c r="D381" s="64">
        <f t="shared" si="10"/>
        <v>-7.3921688852723877E-3</v>
      </c>
      <c r="F381" s="74">
        <v>44987</v>
      </c>
      <c r="G381" s="40">
        <v>1472.15</v>
      </c>
      <c r="H381">
        <f t="shared" si="11"/>
        <v>-1.5975401891647922E-2</v>
      </c>
    </row>
    <row r="382" spans="2:8" x14ac:dyDescent="0.35">
      <c r="B382" s="74">
        <v>44988</v>
      </c>
      <c r="C382">
        <v>17594.349999999999</v>
      </c>
      <c r="D382" s="64">
        <f t="shared" si="10"/>
        <v>1.5728644086387522E-2</v>
      </c>
      <c r="F382" s="74">
        <v>44988</v>
      </c>
      <c r="G382" s="40">
        <v>1479.3</v>
      </c>
      <c r="H382">
        <f t="shared" si="11"/>
        <v>4.8568420337600227E-3</v>
      </c>
    </row>
    <row r="383" spans="2:8" x14ac:dyDescent="0.35">
      <c r="B383" s="74">
        <v>44991</v>
      </c>
      <c r="C383">
        <v>17711.45</v>
      </c>
      <c r="D383" s="64">
        <f t="shared" si="10"/>
        <v>6.6555456723325079E-3</v>
      </c>
      <c r="F383" s="74">
        <v>44991</v>
      </c>
      <c r="G383" s="40">
        <v>1507.45</v>
      </c>
      <c r="H383">
        <f t="shared" si="11"/>
        <v>1.9029270600960047E-2</v>
      </c>
    </row>
    <row r="384" spans="2:8" x14ac:dyDescent="0.35">
      <c r="B384" s="74">
        <v>44993</v>
      </c>
      <c r="C384">
        <v>17754.400000000001</v>
      </c>
      <c r="D384" s="64">
        <f t="shared" si="10"/>
        <v>2.4249849673516621E-3</v>
      </c>
      <c r="F384" s="74">
        <v>44993</v>
      </c>
      <c r="G384" s="40">
        <v>1492.7</v>
      </c>
      <c r="H384">
        <f t="shared" si="11"/>
        <v>-9.7847358121331274E-3</v>
      </c>
    </row>
    <row r="385" spans="2:8" x14ac:dyDescent="0.35">
      <c r="B385" s="74">
        <v>44994</v>
      </c>
      <c r="C385">
        <v>17589.599999999999</v>
      </c>
      <c r="D385" s="64">
        <f t="shared" si="10"/>
        <v>-9.2822061010230383E-3</v>
      </c>
      <c r="F385" s="74">
        <v>44994</v>
      </c>
      <c r="G385" s="40">
        <v>1480.4</v>
      </c>
      <c r="H385">
        <f t="shared" si="11"/>
        <v>-8.24010182890067E-3</v>
      </c>
    </row>
    <row r="386" spans="2:8" x14ac:dyDescent="0.35">
      <c r="B386" s="74">
        <v>44995</v>
      </c>
      <c r="C386">
        <v>17412.900000000001</v>
      </c>
      <c r="D386" s="64">
        <f t="shared" si="10"/>
        <v>-1.0045708827943645E-2</v>
      </c>
      <c r="F386" s="74">
        <v>44995</v>
      </c>
      <c r="G386" s="40">
        <v>1471.55</v>
      </c>
      <c r="H386">
        <f t="shared" si="11"/>
        <v>-5.9781140232370023E-3</v>
      </c>
    </row>
    <row r="387" spans="2:8" x14ac:dyDescent="0.35">
      <c r="B387" s="74">
        <v>44998</v>
      </c>
      <c r="C387">
        <v>17154.3</v>
      </c>
      <c r="D387" s="64">
        <f t="shared" si="10"/>
        <v>-1.4851058697862074E-2</v>
      </c>
      <c r="F387" s="74">
        <v>44998</v>
      </c>
      <c r="G387" s="40">
        <v>1435.1</v>
      </c>
      <c r="H387">
        <f t="shared" si="11"/>
        <v>-2.4769800550440091E-2</v>
      </c>
    </row>
    <row r="388" spans="2:8" x14ac:dyDescent="0.35">
      <c r="B388" s="74">
        <v>44999</v>
      </c>
      <c r="C388">
        <v>17043.3</v>
      </c>
      <c r="D388" s="64">
        <f t="shared" si="10"/>
        <v>-6.4706808205522437E-3</v>
      </c>
      <c r="F388" s="74">
        <v>44999</v>
      </c>
      <c r="G388" s="40">
        <v>1420</v>
      </c>
      <c r="H388">
        <f t="shared" si="11"/>
        <v>-1.0521914849139336E-2</v>
      </c>
    </row>
    <row r="389" spans="2:8" x14ac:dyDescent="0.35">
      <c r="B389" s="74">
        <v>45000</v>
      </c>
      <c r="C389">
        <v>16972.150000000001</v>
      </c>
      <c r="D389" s="64">
        <f t="shared" si="10"/>
        <v>-4.1746610104849147E-3</v>
      </c>
      <c r="F389" s="74">
        <v>45000</v>
      </c>
      <c r="G389" s="40">
        <v>1419.65</v>
      </c>
      <c r="H389">
        <f t="shared" si="11"/>
        <v>-2.4647887323936413E-4</v>
      </c>
    </row>
    <row r="390" spans="2:8" x14ac:dyDescent="0.35">
      <c r="B390" s="74">
        <v>45001</v>
      </c>
      <c r="C390">
        <v>16985.599999999999</v>
      </c>
      <c r="D390" s="64">
        <f t="shared" si="10"/>
        <v>7.9247473066157426E-4</v>
      </c>
      <c r="F390" s="74">
        <v>45001</v>
      </c>
      <c r="G390" s="40">
        <v>1404.1</v>
      </c>
      <c r="H390">
        <f t="shared" si="11"/>
        <v>-1.0953404008030243E-2</v>
      </c>
    </row>
    <row r="391" spans="2:8" x14ac:dyDescent="0.35">
      <c r="B391" s="74">
        <v>45002</v>
      </c>
      <c r="C391">
        <v>17100.05</v>
      </c>
      <c r="D391" s="64">
        <f t="shared" ref="D391:D454" si="12">C391/C390-1</f>
        <v>6.7380604747551143E-3</v>
      </c>
      <c r="F391" s="74">
        <v>45002</v>
      </c>
      <c r="G391" s="40">
        <v>1420.7</v>
      </c>
      <c r="H391">
        <f t="shared" ref="H391:H454" si="13">G391/G390-1</f>
        <v>1.1822519763549755E-2</v>
      </c>
    </row>
    <row r="392" spans="2:8" x14ac:dyDescent="0.35">
      <c r="B392" s="74">
        <v>45005</v>
      </c>
      <c r="C392">
        <v>16988.400000000001</v>
      </c>
      <c r="D392" s="64">
        <f t="shared" si="12"/>
        <v>-6.5292206747932235E-3</v>
      </c>
      <c r="F392" s="74">
        <v>45005</v>
      </c>
      <c r="G392" s="40">
        <v>1403.65</v>
      </c>
      <c r="H392">
        <f t="shared" si="13"/>
        <v>-1.2001126205391621E-2</v>
      </c>
    </row>
    <row r="393" spans="2:8" x14ac:dyDescent="0.35">
      <c r="B393" s="74">
        <v>45006</v>
      </c>
      <c r="C393">
        <v>17107.5</v>
      </c>
      <c r="D393" s="64">
        <f t="shared" si="12"/>
        <v>7.0106661015751914E-3</v>
      </c>
      <c r="F393" s="74">
        <v>45006</v>
      </c>
      <c r="G393" s="40">
        <v>1390.7</v>
      </c>
      <c r="H393">
        <f t="shared" si="13"/>
        <v>-9.2259466391194644E-3</v>
      </c>
    </row>
    <row r="394" spans="2:8" x14ac:dyDescent="0.35">
      <c r="B394" s="74">
        <v>45007</v>
      </c>
      <c r="C394">
        <v>17151.900000000001</v>
      </c>
      <c r="D394" s="64">
        <f t="shared" si="12"/>
        <v>2.5953529153881494E-3</v>
      </c>
      <c r="F394" s="74">
        <v>45007</v>
      </c>
      <c r="G394" s="40">
        <v>1389.25</v>
      </c>
      <c r="H394">
        <f t="shared" si="13"/>
        <v>-1.0426403969224785E-3</v>
      </c>
    </row>
    <row r="395" spans="2:8" x14ac:dyDescent="0.35">
      <c r="B395" s="74">
        <v>45008</v>
      </c>
      <c r="C395">
        <v>17076.900000000001</v>
      </c>
      <c r="D395" s="64">
        <f t="shared" si="12"/>
        <v>-4.3726934042292998E-3</v>
      </c>
      <c r="F395" s="74">
        <v>45008</v>
      </c>
      <c r="G395" s="40">
        <v>1374.55</v>
      </c>
      <c r="H395">
        <f t="shared" si="13"/>
        <v>-1.0581248875292437E-2</v>
      </c>
    </row>
    <row r="396" spans="2:8" x14ac:dyDescent="0.35">
      <c r="B396" s="74">
        <v>45009</v>
      </c>
      <c r="C396">
        <v>16945.05</v>
      </c>
      <c r="D396" s="64">
        <f t="shared" si="12"/>
        <v>-7.7209563796709624E-3</v>
      </c>
      <c r="F396" s="74">
        <v>45009</v>
      </c>
      <c r="G396" s="40">
        <v>1380.65</v>
      </c>
      <c r="H396">
        <f t="shared" si="13"/>
        <v>4.4378160125133626E-3</v>
      </c>
    </row>
    <row r="397" spans="2:8" x14ac:dyDescent="0.35">
      <c r="B397" s="74">
        <v>45012</v>
      </c>
      <c r="C397">
        <v>16985.7</v>
      </c>
      <c r="D397" s="64">
        <f t="shared" si="12"/>
        <v>2.3989306611666983E-3</v>
      </c>
      <c r="F397" s="74">
        <v>45012</v>
      </c>
      <c r="G397" s="40">
        <v>1388.95</v>
      </c>
      <c r="H397">
        <f t="shared" si="13"/>
        <v>6.0116611740845816E-3</v>
      </c>
    </row>
    <row r="398" spans="2:8" x14ac:dyDescent="0.35">
      <c r="B398" s="74">
        <v>45013</v>
      </c>
      <c r="C398">
        <v>16951.7</v>
      </c>
      <c r="D398" s="64">
        <f t="shared" si="12"/>
        <v>-2.0016837692883316E-3</v>
      </c>
      <c r="F398" s="74">
        <v>45013</v>
      </c>
      <c r="G398" s="40">
        <v>1377.6</v>
      </c>
      <c r="H398">
        <f t="shared" si="13"/>
        <v>-8.1716404478203719E-3</v>
      </c>
    </row>
    <row r="399" spans="2:8" x14ac:dyDescent="0.35">
      <c r="B399" s="74">
        <v>45014</v>
      </c>
      <c r="C399">
        <v>17080.7</v>
      </c>
      <c r="D399" s="64">
        <f t="shared" si="12"/>
        <v>7.6098562386073265E-3</v>
      </c>
      <c r="F399" s="74">
        <v>45014</v>
      </c>
      <c r="G399" s="40">
        <v>1383.55</v>
      </c>
      <c r="H399">
        <f t="shared" si="13"/>
        <v>4.3191056910569792E-3</v>
      </c>
    </row>
    <row r="400" spans="2:8" x14ac:dyDescent="0.35">
      <c r="B400" s="74">
        <v>45016</v>
      </c>
      <c r="C400">
        <v>17359.75</v>
      </c>
      <c r="D400" s="64">
        <f t="shared" si="12"/>
        <v>1.6337152458622883E-2</v>
      </c>
      <c r="F400" s="74">
        <v>45016</v>
      </c>
      <c r="G400" s="40">
        <v>1427.95</v>
      </c>
      <c r="H400">
        <f t="shared" si="13"/>
        <v>3.209135918470607E-2</v>
      </c>
    </row>
    <row r="401" spans="2:8" x14ac:dyDescent="0.35">
      <c r="B401" s="74">
        <v>45019</v>
      </c>
      <c r="C401">
        <v>17398.05</v>
      </c>
      <c r="D401" s="64">
        <f t="shared" si="12"/>
        <v>2.2062529702329137E-3</v>
      </c>
      <c r="F401" s="74">
        <v>45019</v>
      </c>
      <c r="G401" s="40">
        <v>1410.85</v>
      </c>
      <c r="H401">
        <f t="shared" si="13"/>
        <v>-1.1975209216009031E-2</v>
      </c>
    </row>
    <row r="402" spans="2:8" x14ac:dyDescent="0.35">
      <c r="B402" s="74">
        <v>45021</v>
      </c>
      <c r="C402">
        <v>17557.05</v>
      </c>
      <c r="D402" s="64">
        <f t="shared" si="12"/>
        <v>9.1389552277409969E-3</v>
      </c>
      <c r="F402" s="74">
        <v>45021</v>
      </c>
      <c r="G402" s="40">
        <v>1423.55</v>
      </c>
      <c r="H402">
        <f t="shared" si="13"/>
        <v>9.0016656625437896E-3</v>
      </c>
    </row>
    <row r="403" spans="2:8" x14ac:dyDescent="0.35">
      <c r="B403" s="74">
        <v>45022</v>
      </c>
      <c r="C403">
        <v>17599.150000000001</v>
      </c>
      <c r="D403" s="64">
        <f t="shared" si="12"/>
        <v>2.3978971410345551E-3</v>
      </c>
      <c r="F403" s="74">
        <v>45022</v>
      </c>
      <c r="G403" s="40">
        <v>1421.9</v>
      </c>
      <c r="H403">
        <f t="shared" si="13"/>
        <v>-1.1590741456217746E-3</v>
      </c>
    </row>
    <row r="404" spans="2:8" x14ac:dyDescent="0.35">
      <c r="B404" s="74">
        <v>45026</v>
      </c>
      <c r="C404">
        <v>17624.05</v>
      </c>
      <c r="D404" s="64">
        <f t="shared" si="12"/>
        <v>1.4148410576646508E-3</v>
      </c>
      <c r="F404" s="74">
        <v>45026</v>
      </c>
      <c r="G404" s="40">
        <v>1427.6</v>
      </c>
      <c r="H404">
        <f t="shared" si="13"/>
        <v>4.0087207257892832E-3</v>
      </c>
    </row>
    <row r="405" spans="2:8" x14ac:dyDescent="0.35">
      <c r="B405" s="74">
        <v>45027</v>
      </c>
      <c r="C405">
        <v>17722.3</v>
      </c>
      <c r="D405" s="64">
        <f t="shared" si="12"/>
        <v>5.5747685690858972E-3</v>
      </c>
      <c r="F405" s="74">
        <v>45027</v>
      </c>
      <c r="G405" s="40">
        <v>1406.15</v>
      </c>
      <c r="H405">
        <f t="shared" si="13"/>
        <v>-1.5025217147660253E-2</v>
      </c>
    </row>
    <row r="406" spans="2:8" x14ac:dyDescent="0.35">
      <c r="B406" s="74">
        <v>45028</v>
      </c>
      <c r="C406">
        <v>17812.400000000001</v>
      </c>
      <c r="D406" s="64">
        <f t="shared" si="12"/>
        <v>5.083990227002344E-3</v>
      </c>
      <c r="F406" s="74">
        <v>45028</v>
      </c>
      <c r="G406" s="40">
        <v>1428.3</v>
      </c>
      <c r="H406">
        <f t="shared" si="13"/>
        <v>1.5752231269779093E-2</v>
      </c>
    </row>
    <row r="407" spans="2:8" x14ac:dyDescent="0.35">
      <c r="B407" s="74">
        <v>45029</v>
      </c>
      <c r="C407">
        <v>17828</v>
      </c>
      <c r="D407" s="64">
        <f t="shared" si="12"/>
        <v>8.7579439042451135E-4</v>
      </c>
      <c r="F407" s="74">
        <v>45029</v>
      </c>
      <c r="G407" s="40">
        <v>1389.2</v>
      </c>
      <c r="H407">
        <f t="shared" si="13"/>
        <v>-2.7375201288244666E-2</v>
      </c>
    </row>
    <row r="408" spans="2:8" x14ac:dyDescent="0.35">
      <c r="B408" s="74">
        <v>45033</v>
      </c>
      <c r="C408">
        <v>17706.849999999999</v>
      </c>
      <c r="D408" s="64">
        <f t="shared" si="12"/>
        <v>-6.7954902400718664E-3</v>
      </c>
      <c r="F408" s="74">
        <v>45033</v>
      </c>
      <c r="G408" s="40">
        <v>1258.3</v>
      </c>
      <c r="H408">
        <f t="shared" si="13"/>
        <v>-9.4226893175928694E-2</v>
      </c>
    </row>
    <row r="409" spans="2:8" x14ac:dyDescent="0.35">
      <c r="B409" s="74">
        <v>45034</v>
      </c>
      <c r="C409">
        <v>17660.150000000001</v>
      </c>
      <c r="D409" s="64">
        <f t="shared" si="12"/>
        <v>-2.6373973914048943E-3</v>
      </c>
      <c r="F409" s="74">
        <v>45034</v>
      </c>
      <c r="G409" s="40">
        <v>1259.3499999999999</v>
      </c>
      <c r="H409">
        <f t="shared" si="13"/>
        <v>8.3445919097191457E-4</v>
      </c>
    </row>
    <row r="410" spans="2:8" x14ac:dyDescent="0.35">
      <c r="B410" s="74">
        <v>45035</v>
      </c>
      <c r="C410">
        <v>17618.75</v>
      </c>
      <c r="D410" s="64">
        <f t="shared" si="12"/>
        <v>-2.3442609490860189E-3</v>
      </c>
      <c r="F410" s="74">
        <v>45035</v>
      </c>
      <c r="G410" s="40">
        <v>1232.2</v>
      </c>
      <c r="H410">
        <f t="shared" si="13"/>
        <v>-2.1558740620161054E-2</v>
      </c>
    </row>
    <row r="411" spans="2:8" x14ac:dyDescent="0.35">
      <c r="B411" s="74">
        <v>45036</v>
      </c>
      <c r="C411">
        <v>17624.45</v>
      </c>
      <c r="D411" s="64">
        <f t="shared" si="12"/>
        <v>3.2351897836124799E-4</v>
      </c>
      <c r="F411" s="74">
        <v>45036</v>
      </c>
      <c r="G411" s="40">
        <v>1223.4000000000001</v>
      </c>
      <c r="H411">
        <f t="shared" si="13"/>
        <v>-7.1416977763349987E-3</v>
      </c>
    </row>
    <row r="412" spans="2:8" x14ac:dyDescent="0.35">
      <c r="B412" s="74">
        <v>45037</v>
      </c>
      <c r="C412">
        <v>17624.05</v>
      </c>
      <c r="D412" s="64">
        <f t="shared" si="12"/>
        <v>-2.2695743697065396E-5</v>
      </c>
      <c r="F412" s="74">
        <v>45037</v>
      </c>
      <c r="G412" s="40">
        <v>1227.3499999999999</v>
      </c>
      <c r="H412">
        <f t="shared" si="13"/>
        <v>3.2287068824585763E-3</v>
      </c>
    </row>
    <row r="413" spans="2:8" x14ac:dyDescent="0.35">
      <c r="B413" s="74">
        <v>45040</v>
      </c>
      <c r="C413">
        <v>17743.400000000001</v>
      </c>
      <c r="D413" s="64">
        <f t="shared" si="12"/>
        <v>6.7719962210730511E-3</v>
      </c>
      <c r="F413" s="74">
        <v>45040</v>
      </c>
      <c r="G413" s="40">
        <v>1226.3</v>
      </c>
      <c r="H413">
        <f t="shared" si="13"/>
        <v>-8.5550169063430825E-4</v>
      </c>
    </row>
    <row r="414" spans="2:8" x14ac:dyDescent="0.35">
      <c r="B414" s="74">
        <v>45041</v>
      </c>
      <c r="C414">
        <v>17769.25</v>
      </c>
      <c r="D414" s="64">
        <f t="shared" si="12"/>
        <v>1.4568797411995682E-3</v>
      </c>
      <c r="F414" s="74">
        <v>45041</v>
      </c>
      <c r="G414" s="40">
        <v>1224.9000000000001</v>
      </c>
      <c r="H414">
        <f t="shared" si="13"/>
        <v>-1.141645600587049E-3</v>
      </c>
    </row>
    <row r="415" spans="2:8" x14ac:dyDescent="0.35">
      <c r="B415" s="74">
        <v>45042</v>
      </c>
      <c r="C415">
        <v>17813.599999999999</v>
      </c>
      <c r="D415" s="64">
        <f t="shared" si="12"/>
        <v>2.4958847447134058E-3</v>
      </c>
      <c r="F415" s="74">
        <v>45042</v>
      </c>
      <c r="G415" s="40">
        <v>1227.55</v>
      </c>
      <c r="H415">
        <f t="shared" si="13"/>
        <v>2.1634419136253857E-3</v>
      </c>
    </row>
    <row r="416" spans="2:8" x14ac:dyDescent="0.35">
      <c r="B416" s="74">
        <v>45043</v>
      </c>
      <c r="C416">
        <v>17915.05</v>
      </c>
      <c r="D416" s="64">
        <f t="shared" si="12"/>
        <v>5.6950868998968396E-3</v>
      </c>
      <c r="F416" s="74">
        <v>45043</v>
      </c>
      <c r="G416" s="40">
        <v>1246.25</v>
      </c>
      <c r="H416">
        <f t="shared" si="13"/>
        <v>1.5233595372897257E-2</v>
      </c>
    </row>
    <row r="417" spans="2:8" x14ac:dyDescent="0.35">
      <c r="B417" s="74">
        <v>45044</v>
      </c>
      <c r="C417">
        <v>18065</v>
      </c>
      <c r="D417" s="64">
        <f t="shared" si="12"/>
        <v>8.3700575772884811E-3</v>
      </c>
      <c r="F417" s="74">
        <v>45044</v>
      </c>
      <c r="G417" s="40">
        <v>1252.75</v>
      </c>
      <c r="H417">
        <f t="shared" si="13"/>
        <v>5.2156469408224382E-3</v>
      </c>
    </row>
    <row r="418" spans="2:8" x14ac:dyDescent="0.35">
      <c r="B418" s="74">
        <v>45048</v>
      </c>
      <c r="C418">
        <v>18147.650000000001</v>
      </c>
      <c r="D418" s="64">
        <f t="shared" si="12"/>
        <v>4.5751453086078087E-3</v>
      </c>
      <c r="F418" s="74">
        <v>45048</v>
      </c>
      <c r="G418" s="40">
        <v>1277.45</v>
      </c>
      <c r="H418">
        <f t="shared" si="13"/>
        <v>1.9716623428457369E-2</v>
      </c>
    </row>
    <row r="419" spans="2:8" x14ac:dyDescent="0.35">
      <c r="B419" s="74">
        <v>45049</v>
      </c>
      <c r="C419">
        <v>18089.849999999999</v>
      </c>
      <c r="D419" s="64">
        <f t="shared" si="12"/>
        <v>-3.1849853837826458E-3</v>
      </c>
      <c r="F419" s="74">
        <v>45049</v>
      </c>
      <c r="G419" s="40">
        <v>1269.1500000000001</v>
      </c>
      <c r="H419">
        <f t="shared" si="13"/>
        <v>-6.4973188774510859E-3</v>
      </c>
    </row>
    <row r="420" spans="2:8" x14ac:dyDescent="0.35">
      <c r="B420" s="74">
        <v>45050</v>
      </c>
      <c r="C420">
        <v>18255.8</v>
      </c>
      <c r="D420" s="64">
        <f t="shared" si="12"/>
        <v>9.1736526284076358E-3</v>
      </c>
      <c r="F420" s="74">
        <v>45050</v>
      </c>
      <c r="G420" s="40">
        <v>1273.55</v>
      </c>
      <c r="H420">
        <f t="shared" si="13"/>
        <v>3.4668872867666956E-3</v>
      </c>
    </row>
    <row r="421" spans="2:8" x14ac:dyDescent="0.35">
      <c r="B421" s="74">
        <v>45051</v>
      </c>
      <c r="C421">
        <v>18069</v>
      </c>
      <c r="D421" s="64">
        <f t="shared" si="12"/>
        <v>-1.0232364508813596E-2</v>
      </c>
      <c r="F421" s="74">
        <v>45051</v>
      </c>
      <c r="G421" s="40">
        <v>1259.0999999999999</v>
      </c>
      <c r="H421">
        <f t="shared" si="13"/>
        <v>-1.1346236896863093E-2</v>
      </c>
    </row>
    <row r="422" spans="2:8" x14ac:dyDescent="0.35">
      <c r="B422" s="74">
        <v>45054</v>
      </c>
      <c r="C422">
        <v>18264.400000000001</v>
      </c>
      <c r="D422" s="64">
        <f t="shared" si="12"/>
        <v>1.0814101499806439E-2</v>
      </c>
      <c r="F422" s="74">
        <v>45054</v>
      </c>
      <c r="G422" s="40">
        <v>1265.5999999999999</v>
      </c>
      <c r="H422">
        <f t="shared" si="13"/>
        <v>5.1624175998730149E-3</v>
      </c>
    </row>
    <row r="423" spans="2:8" x14ac:dyDescent="0.35">
      <c r="B423" s="74">
        <v>45055</v>
      </c>
      <c r="C423">
        <v>18265.95</v>
      </c>
      <c r="D423" s="64">
        <f t="shared" si="12"/>
        <v>8.4864545235596722E-5</v>
      </c>
      <c r="F423" s="74">
        <v>45055</v>
      </c>
      <c r="G423" s="40">
        <v>1270.7</v>
      </c>
      <c r="H423">
        <f t="shared" si="13"/>
        <v>4.0297092288243963E-3</v>
      </c>
    </row>
    <row r="424" spans="2:8" x14ac:dyDescent="0.35">
      <c r="B424" s="74">
        <v>45056</v>
      </c>
      <c r="C424">
        <v>18315.099999999999</v>
      </c>
      <c r="D424" s="64">
        <f t="shared" si="12"/>
        <v>2.6907990003255389E-3</v>
      </c>
      <c r="F424" s="74">
        <v>45056</v>
      </c>
      <c r="G424" s="40">
        <v>1263.25</v>
      </c>
      <c r="H424">
        <f t="shared" si="13"/>
        <v>-5.8629102069726047E-3</v>
      </c>
    </row>
    <row r="425" spans="2:8" x14ac:dyDescent="0.35">
      <c r="B425" s="74">
        <v>45057</v>
      </c>
      <c r="C425">
        <v>18297</v>
      </c>
      <c r="D425" s="64">
        <f t="shared" si="12"/>
        <v>-9.8825559238002736E-4</v>
      </c>
      <c r="F425" s="74">
        <v>45057</v>
      </c>
      <c r="G425" s="40">
        <v>1256.0999999999999</v>
      </c>
      <c r="H425">
        <f t="shared" si="13"/>
        <v>-5.6600039580447792E-3</v>
      </c>
    </row>
    <row r="426" spans="2:8" x14ac:dyDescent="0.35">
      <c r="B426" s="74">
        <v>45058</v>
      </c>
      <c r="C426">
        <v>18314.8</v>
      </c>
      <c r="D426" s="64">
        <f t="shared" si="12"/>
        <v>9.7283707711648404E-4</v>
      </c>
      <c r="F426" s="74">
        <v>45058</v>
      </c>
      <c r="G426" s="40">
        <v>1245.2</v>
      </c>
      <c r="H426">
        <f t="shared" si="13"/>
        <v>-8.6776530531007534E-3</v>
      </c>
    </row>
    <row r="427" spans="2:8" x14ac:dyDescent="0.35">
      <c r="B427" s="74">
        <v>45061</v>
      </c>
      <c r="C427">
        <v>18398.849999999999</v>
      </c>
      <c r="D427" s="64">
        <f t="shared" si="12"/>
        <v>4.5891847030816724E-3</v>
      </c>
      <c r="F427" s="74">
        <v>45061</v>
      </c>
      <c r="G427" s="40">
        <v>1258.3499999999999</v>
      </c>
      <c r="H427">
        <f t="shared" si="13"/>
        <v>1.0560552521683197E-2</v>
      </c>
    </row>
    <row r="428" spans="2:8" x14ac:dyDescent="0.35">
      <c r="B428" s="74">
        <v>45062</v>
      </c>
      <c r="C428">
        <v>18286.5</v>
      </c>
      <c r="D428" s="64">
        <f t="shared" si="12"/>
        <v>-6.1063599083637232E-3</v>
      </c>
      <c r="F428" s="74">
        <v>45062</v>
      </c>
      <c r="G428" s="40">
        <v>1264.3</v>
      </c>
      <c r="H428">
        <f t="shared" si="13"/>
        <v>4.7284141931895896E-3</v>
      </c>
    </row>
    <row r="429" spans="2:8" x14ac:dyDescent="0.35">
      <c r="B429" s="74">
        <v>45063</v>
      </c>
      <c r="C429">
        <v>18181.75</v>
      </c>
      <c r="D429" s="64">
        <f t="shared" si="12"/>
        <v>-5.7282694884204233E-3</v>
      </c>
      <c r="F429" s="74">
        <v>45063</v>
      </c>
      <c r="G429" s="40">
        <v>1246.9000000000001</v>
      </c>
      <c r="H429">
        <f t="shared" si="13"/>
        <v>-1.376255635529533E-2</v>
      </c>
    </row>
    <row r="430" spans="2:8" x14ac:dyDescent="0.35">
      <c r="B430" s="74">
        <v>45064</v>
      </c>
      <c r="C430">
        <v>18129.95</v>
      </c>
      <c r="D430" s="64">
        <f t="shared" si="12"/>
        <v>-2.8490106837900653E-3</v>
      </c>
      <c r="F430" s="74">
        <v>45064</v>
      </c>
      <c r="G430" s="40">
        <v>1246</v>
      </c>
      <c r="H430">
        <f t="shared" si="13"/>
        <v>-7.2179003929750962E-4</v>
      </c>
    </row>
    <row r="431" spans="2:8" x14ac:dyDescent="0.35">
      <c r="B431" s="74">
        <v>45065</v>
      </c>
      <c r="C431">
        <v>18203.400000000001</v>
      </c>
      <c r="D431" s="64">
        <f t="shared" si="12"/>
        <v>4.0513073670915833E-3</v>
      </c>
      <c r="F431" s="74">
        <v>45065</v>
      </c>
      <c r="G431" s="40">
        <v>1268.9000000000001</v>
      </c>
      <c r="H431">
        <f t="shared" si="13"/>
        <v>1.837881219903692E-2</v>
      </c>
    </row>
    <row r="432" spans="2:8" x14ac:dyDescent="0.35">
      <c r="B432" s="74">
        <v>45068</v>
      </c>
      <c r="C432">
        <v>18314.400000000001</v>
      </c>
      <c r="D432" s="64">
        <f t="shared" si="12"/>
        <v>6.0977619565576457E-3</v>
      </c>
      <c r="F432" s="74">
        <v>45068</v>
      </c>
      <c r="G432" s="40">
        <v>1292.8</v>
      </c>
      <c r="H432">
        <f t="shared" si="13"/>
        <v>1.8835211600598756E-2</v>
      </c>
    </row>
    <row r="433" spans="2:8" x14ac:dyDescent="0.35">
      <c r="B433" s="74">
        <v>45069</v>
      </c>
      <c r="C433">
        <v>18348</v>
      </c>
      <c r="D433" s="64">
        <f t="shared" si="12"/>
        <v>1.834621936836589E-3</v>
      </c>
      <c r="F433" s="74">
        <v>45069</v>
      </c>
      <c r="G433" s="40">
        <v>1300.05</v>
      </c>
      <c r="H433">
        <f t="shared" si="13"/>
        <v>5.6079826732673421E-3</v>
      </c>
    </row>
    <row r="434" spans="2:8" x14ac:dyDescent="0.35">
      <c r="B434" s="74">
        <v>45070</v>
      </c>
      <c r="C434">
        <v>18285.400000000001</v>
      </c>
      <c r="D434" s="64">
        <f t="shared" si="12"/>
        <v>-3.4118160017440058E-3</v>
      </c>
      <c r="F434" s="74">
        <v>45070</v>
      </c>
      <c r="G434" s="40">
        <v>1298.6500000000001</v>
      </c>
      <c r="H434">
        <f t="shared" si="13"/>
        <v>-1.0768816583976992E-3</v>
      </c>
    </row>
    <row r="435" spans="2:8" x14ac:dyDescent="0.35">
      <c r="B435" s="74">
        <v>45071</v>
      </c>
      <c r="C435">
        <v>18321.150000000001</v>
      </c>
      <c r="D435" s="64">
        <f t="shared" si="12"/>
        <v>1.955111728482839E-3</v>
      </c>
      <c r="F435" s="74">
        <v>45071</v>
      </c>
      <c r="G435" s="40">
        <v>1304.3499999999999</v>
      </c>
      <c r="H435">
        <f t="shared" si="13"/>
        <v>4.3891733723480097E-3</v>
      </c>
    </row>
    <row r="436" spans="2:8" x14ac:dyDescent="0.35">
      <c r="B436" s="74">
        <v>45072</v>
      </c>
      <c r="C436">
        <v>18499.349999999999</v>
      </c>
      <c r="D436" s="64">
        <f t="shared" si="12"/>
        <v>9.7264636772254054E-3</v>
      </c>
      <c r="F436" s="74">
        <v>45072</v>
      </c>
      <c r="G436" s="40">
        <v>1317.45</v>
      </c>
      <c r="H436">
        <f t="shared" si="13"/>
        <v>1.004331659447244E-2</v>
      </c>
    </row>
    <row r="437" spans="2:8" x14ac:dyDescent="0.35">
      <c r="B437" s="74">
        <v>45075</v>
      </c>
      <c r="C437">
        <v>18598.650000000001</v>
      </c>
      <c r="D437" s="64">
        <f t="shared" si="12"/>
        <v>5.3677561644058791E-3</v>
      </c>
      <c r="F437" s="74">
        <v>45075</v>
      </c>
      <c r="G437" s="40">
        <v>1314.4</v>
      </c>
      <c r="H437">
        <f t="shared" si="13"/>
        <v>-2.3150783710956802E-3</v>
      </c>
    </row>
    <row r="438" spans="2:8" x14ac:dyDescent="0.35">
      <c r="B438" s="74">
        <v>45076</v>
      </c>
      <c r="C438">
        <v>18633.849999999999</v>
      </c>
      <c r="D438" s="64">
        <f t="shared" si="12"/>
        <v>1.8926104851695325E-3</v>
      </c>
      <c r="F438" s="74">
        <v>45076</v>
      </c>
      <c r="G438" s="40">
        <v>1323.85</v>
      </c>
      <c r="H438">
        <f t="shared" si="13"/>
        <v>7.1895922093729858E-3</v>
      </c>
    </row>
    <row r="439" spans="2:8" x14ac:dyDescent="0.35">
      <c r="B439" s="74">
        <v>45077</v>
      </c>
      <c r="C439">
        <v>18534.400000000001</v>
      </c>
      <c r="D439" s="64">
        <f t="shared" si="12"/>
        <v>-5.3370613158310043E-3</v>
      </c>
      <c r="F439" s="74">
        <v>45077</v>
      </c>
      <c r="G439" s="40">
        <v>1318.3</v>
      </c>
      <c r="H439">
        <f t="shared" si="13"/>
        <v>-4.1923178607847777E-3</v>
      </c>
    </row>
    <row r="440" spans="2:8" x14ac:dyDescent="0.35">
      <c r="B440" s="74">
        <v>45078</v>
      </c>
      <c r="C440">
        <v>18487.75</v>
      </c>
      <c r="D440" s="64">
        <f t="shared" si="12"/>
        <v>-2.5169414709945714E-3</v>
      </c>
      <c r="F440" s="74">
        <v>45078</v>
      </c>
      <c r="G440" s="40">
        <v>1319.5</v>
      </c>
      <c r="H440">
        <f t="shared" si="13"/>
        <v>9.1026321778042707E-4</v>
      </c>
    </row>
    <row r="441" spans="2:8" x14ac:dyDescent="0.35">
      <c r="B441" s="74">
        <v>45079</v>
      </c>
      <c r="C441">
        <v>18534.099999999999</v>
      </c>
      <c r="D441" s="64">
        <f t="shared" si="12"/>
        <v>2.507065489310456E-3</v>
      </c>
      <c r="F441" s="74">
        <v>45079</v>
      </c>
      <c r="G441" s="40">
        <v>1299</v>
      </c>
      <c r="H441">
        <f t="shared" si="13"/>
        <v>-1.5536187949981017E-2</v>
      </c>
    </row>
    <row r="442" spans="2:8" x14ac:dyDescent="0.35">
      <c r="B442" s="74">
        <v>45082</v>
      </c>
      <c r="C442">
        <v>18593.849999999999</v>
      </c>
      <c r="D442" s="64">
        <f t="shared" si="12"/>
        <v>3.223787505193032E-3</v>
      </c>
      <c r="F442" s="74">
        <v>45082</v>
      </c>
      <c r="G442" s="40">
        <v>1304.5</v>
      </c>
      <c r="H442">
        <f t="shared" si="13"/>
        <v>4.2340261739799434E-3</v>
      </c>
    </row>
    <row r="443" spans="2:8" x14ac:dyDescent="0.35">
      <c r="B443" s="74">
        <v>45083</v>
      </c>
      <c r="C443">
        <v>18599</v>
      </c>
      <c r="D443" s="64">
        <f t="shared" si="12"/>
        <v>2.7697330031184464E-4</v>
      </c>
      <c r="F443" s="74">
        <v>45083</v>
      </c>
      <c r="G443" s="40">
        <v>1279</v>
      </c>
      <c r="H443">
        <f t="shared" si="13"/>
        <v>-1.9547719432732813E-2</v>
      </c>
    </row>
    <row r="444" spans="2:8" x14ac:dyDescent="0.35">
      <c r="B444" s="74">
        <v>45084</v>
      </c>
      <c r="C444">
        <v>18726.400000000001</v>
      </c>
      <c r="D444" s="64">
        <f t="shared" si="12"/>
        <v>6.8498306360558203E-3</v>
      </c>
      <c r="F444" s="74">
        <v>45084</v>
      </c>
      <c r="G444" s="40">
        <v>1288.95</v>
      </c>
      <c r="H444">
        <f t="shared" si="13"/>
        <v>7.7795152462862838E-3</v>
      </c>
    </row>
    <row r="445" spans="2:8" x14ac:dyDescent="0.35">
      <c r="B445" s="74">
        <v>45085</v>
      </c>
      <c r="C445">
        <v>18634.55</v>
      </c>
      <c r="D445" s="64">
        <f t="shared" si="12"/>
        <v>-4.9048402255640333E-3</v>
      </c>
      <c r="F445" s="74">
        <v>45085</v>
      </c>
      <c r="G445" s="40">
        <v>1282.8</v>
      </c>
      <c r="H445">
        <f t="shared" si="13"/>
        <v>-4.7713254974980357E-3</v>
      </c>
    </row>
    <row r="446" spans="2:8" x14ac:dyDescent="0.35">
      <c r="B446" s="74">
        <v>45086</v>
      </c>
      <c r="C446">
        <v>18563.400000000001</v>
      </c>
      <c r="D446" s="64">
        <f t="shared" si="12"/>
        <v>-3.8181764518058214E-3</v>
      </c>
      <c r="F446" s="74">
        <v>45086</v>
      </c>
      <c r="G446" s="40">
        <v>1265.95</v>
      </c>
      <c r="H446">
        <f t="shared" si="13"/>
        <v>-1.313532896788272E-2</v>
      </c>
    </row>
    <row r="447" spans="2:8" x14ac:dyDescent="0.35">
      <c r="B447" s="74">
        <v>45089</v>
      </c>
      <c r="C447">
        <v>18601.5</v>
      </c>
      <c r="D447" s="64">
        <f t="shared" si="12"/>
        <v>2.0524257409741953E-3</v>
      </c>
      <c r="F447" s="74">
        <v>45089</v>
      </c>
      <c r="G447" s="40">
        <v>1291.95</v>
      </c>
      <c r="H447">
        <f t="shared" si="13"/>
        <v>2.0537935937438245E-2</v>
      </c>
    </row>
    <row r="448" spans="2:8" x14ac:dyDescent="0.35">
      <c r="B448" s="74">
        <v>45090</v>
      </c>
      <c r="C448">
        <v>18716.150000000001</v>
      </c>
      <c r="D448" s="64">
        <f t="shared" si="12"/>
        <v>6.1634814396689386E-3</v>
      </c>
      <c r="F448" s="74">
        <v>45090</v>
      </c>
      <c r="G448" s="40">
        <v>1304.8499999999999</v>
      </c>
      <c r="H448">
        <f t="shared" si="13"/>
        <v>9.9849065366306444E-3</v>
      </c>
    </row>
    <row r="449" spans="2:8" x14ac:dyDescent="0.35">
      <c r="B449" s="74">
        <v>45091</v>
      </c>
      <c r="C449">
        <v>18755.900000000001</v>
      </c>
      <c r="D449" s="64">
        <f t="shared" si="12"/>
        <v>2.123834228727528E-3</v>
      </c>
      <c r="F449" s="74">
        <v>45091</v>
      </c>
      <c r="G449" s="40">
        <v>1300.4000000000001</v>
      </c>
      <c r="H449">
        <f t="shared" si="13"/>
        <v>-3.4103536804995782E-3</v>
      </c>
    </row>
    <row r="450" spans="2:8" x14ac:dyDescent="0.35">
      <c r="B450" s="74">
        <v>45092</v>
      </c>
      <c r="C450">
        <v>18688.099999999999</v>
      </c>
      <c r="D450" s="64">
        <f t="shared" si="12"/>
        <v>-3.6148625232594878E-3</v>
      </c>
      <c r="F450" s="74">
        <v>45092</v>
      </c>
      <c r="G450" s="40">
        <v>1286.8</v>
      </c>
      <c r="H450">
        <f t="shared" si="13"/>
        <v>-1.0458320516764208E-2</v>
      </c>
    </row>
    <row r="451" spans="2:8" x14ac:dyDescent="0.35">
      <c r="B451" s="74">
        <v>45093</v>
      </c>
      <c r="C451">
        <v>18826</v>
      </c>
      <c r="D451" s="64">
        <f t="shared" si="12"/>
        <v>7.3790272954448177E-3</v>
      </c>
      <c r="F451" s="74">
        <v>45093</v>
      </c>
      <c r="G451" s="40">
        <v>1291.6500000000001</v>
      </c>
      <c r="H451">
        <f t="shared" si="13"/>
        <v>3.7690394777745162E-3</v>
      </c>
    </row>
    <row r="452" spans="2:8" x14ac:dyDescent="0.35">
      <c r="B452" s="74">
        <v>45096</v>
      </c>
      <c r="C452">
        <v>18755.45</v>
      </c>
      <c r="D452" s="64">
        <f t="shared" si="12"/>
        <v>-3.7474768936576197E-3</v>
      </c>
      <c r="F452" s="74">
        <v>45096</v>
      </c>
      <c r="G452" s="40">
        <v>1294</v>
      </c>
      <c r="H452">
        <f t="shared" si="13"/>
        <v>1.8193783145588061E-3</v>
      </c>
    </row>
    <row r="453" spans="2:8" x14ac:dyDescent="0.35">
      <c r="B453" s="74">
        <v>45097</v>
      </c>
      <c r="C453">
        <v>18816.7</v>
      </c>
      <c r="D453" s="64">
        <f t="shared" si="12"/>
        <v>3.2657174314665305E-3</v>
      </c>
      <c r="F453" s="74">
        <v>45097</v>
      </c>
      <c r="G453" s="40">
        <v>1303.4000000000001</v>
      </c>
      <c r="H453">
        <f t="shared" si="13"/>
        <v>7.2642967542504433E-3</v>
      </c>
    </row>
    <row r="454" spans="2:8" x14ac:dyDescent="0.35">
      <c r="B454" s="74">
        <v>45098</v>
      </c>
      <c r="C454">
        <v>18856.849999999999</v>
      </c>
      <c r="D454" s="64">
        <f t="shared" si="12"/>
        <v>2.1337428985952478E-3</v>
      </c>
      <c r="F454" s="74">
        <v>45098</v>
      </c>
      <c r="G454" s="40">
        <v>1299.3499999999999</v>
      </c>
      <c r="H454">
        <f t="shared" si="13"/>
        <v>-3.1072579407703804E-3</v>
      </c>
    </row>
    <row r="455" spans="2:8" x14ac:dyDescent="0.35">
      <c r="B455" s="74">
        <v>45099</v>
      </c>
      <c r="C455">
        <v>18771.25</v>
      </c>
      <c r="D455" s="64">
        <f t="shared" ref="D455:D518" si="14">C455/C454-1</f>
        <v>-4.5394644386521632E-3</v>
      </c>
      <c r="F455" s="74">
        <v>45099</v>
      </c>
      <c r="G455" s="40">
        <v>1281.55</v>
      </c>
      <c r="H455">
        <f t="shared" ref="H455:H518" si="15">G455/G454-1</f>
        <v>-1.3699157270943174E-2</v>
      </c>
    </row>
    <row r="456" spans="2:8" x14ac:dyDescent="0.35">
      <c r="B456" s="74">
        <v>45100</v>
      </c>
      <c r="C456">
        <v>18665.5</v>
      </c>
      <c r="D456" s="64">
        <f t="shared" si="14"/>
        <v>-5.6336152360657588E-3</v>
      </c>
      <c r="F456" s="74">
        <v>45100</v>
      </c>
      <c r="G456" s="40">
        <v>1265</v>
      </c>
      <c r="H456">
        <f t="shared" si="15"/>
        <v>-1.2914049393312754E-2</v>
      </c>
    </row>
    <row r="457" spans="2:8" x14ac:dyDescent="0.35">
      <c r="B457" s="74">
        <v>45103</v>
      </c>
      <c r="C457">
        <v>18691.2</v>
      </c>
      <c r="D457" s="64">
        <f t="shared" si="14"/>
        <v>1.3768717687712151E-3</v>
      </c>
      <c r="F457" s="74">
        <v>45103</v>
      </c>
      <c r="G457" s="40">
        <v>1270.3499999999999</v>
      </c>
      <c r="H457">
        <f t="shared" si="15"/>
        <v>4.2292490118576165E-3</v>
      </c>
    </row>
    <row r="458" spans="2:8" x14ac:dyDescent="0.35">
      <c r="B458" s="74">
        <v>45104</v>
      </c>
      <c r="C458">
        <v>18817.400000000001</v>
      </c>
      <c r="D458" s="64">
        <f t="shared" si="14"/>
        <v>6.7518404382811426E-3</v>
      </c>
      <c r="F458" s="74">
        <v>45104</v>
      </c>
      <c r="G458" s="40">
        <v>1279.1500000000001</v>
      </c>
      <c r="H458">
        <f t="shared" si="15"/>
        <v>6.9272247805725051E-3</v>
      </c>
    </row>
    <row r="459" spans="2:8" x14ac:dyDescent="0.35">
      <c r="B459" s="74">
        <v>45105</v>
      </c>
      <c r="C459">
        <v>18972.099999999999</v>
      </c>
      <c r="D459" s="64">
        <f t="shared" si="14"/>
        <v>8.2211145004089659E-3</v>
      </c>
      <c r="F459" s="74">
        <v>45105</v>
      </c>
      <c r="G459" s="40">
        <v>1293.3499999999999</v>
      </c>
      <c r="H459">
        <f t="shared" si="15"/>
        <v>1.1101121838720918E-2</v>
      </c>
    </row>
    <row r="460" spans="2:8" x14ac:dyDescent="0.35">
      <c r="B460" s="74">
        <v>45107</v>
      </c>
      <c r="C460">
        <v>19189.05</v>
      </c>
      <c r="D460" s="64">
        <f t="shared" si="14"/>
        <v>1.1435212759789426E-2</v>
      </c>
      <c r="F460" s="74">
        <v>45107</v>
      </c>
      <c r="G460" s="40">
        <v>1335.5</v>
      </c>
      <c r="H460">
        <f t="shared" si="15"/>
        <v>3.2589786214095362E-2</v>
      </c>
    </row>
    <row r="461" spans="2:8" x14ac:dyDescent="0.35">
      <c r="B461" s="74">
        <v>45110</v>
      </c>
      <c r="C461">
        <v>19322.55</v>
      </c>
      <c r="D461" s="64">
        <f t="shared" si="14"/>
        <v>6.9570927169402275E-3</v>
      </c>
      <c r="F461" s="74">
        <v>45110</v>
      </c>
      <c r="G461" s="40">
        <v>1333.7</v>
      </c>
      <c r="H461">
        <f t="shared" si="15"/>
        <v>-1.3478098090602408E-3</v>
      </c>
    </row>
    <row r="462" spans="2:8" x14ac:dyDescent="0.35">
      <c r="B462" s="74">
        <v>45111</v>
      </c>
      <c r="C462">
        <v>19389</v>
      </c>
      <c r="D462" s="64">
        <f t="shared" si="14"/>
        <v>3.4389870902133968E-3</v>
      </c>
      <c r="F462" s="74">
        <v>45111</v>
      </c>
      <c r="G462" s="40">
        <v>1345.15</v>
      </c>
      <c r="H462">
        <f t="shared" si="15"/>
        <v>8.5851390867510702E-3</v>
      </c>
    </row>
    <row r="463" spans="2:8" x14ac:dyDescent="0.35">
      <c r="B463" s="74">
        <v>45112</v>
      </c>
      <c r="C463">
        <v>19398.5</v>
      </c>
      <c r="D463" s="64">
        <f t="shared" si="14"/>
        <v>4.8996853886218439E-4</v>
      </c>
      <c r="F463" s="74">
        <v>45112</v>
      </c>
      <c r="G463" s="40">
        <v>1347.3</v>
      </c>
      <c r="H463">
        <f t="shared" si="15"/>
        <v>1.5983347582053664E-3</v>
      </c>
    </row>
    <row r="464" spans="2:8" x14ac:dyDescent="0.35">
      <c r="B464" s="74">
        <v>45113</v>
      </c>
      <c r="C464">
        <v>19497.3</v>
      </c>
      <c r="D464" s="64">
        <f t="shared" si="14"/>
        <v>5.0931773075237885E-3</v>
      </c>
      <c r="F464" s="74">
        <v>45113</v>
      </c>
      <c r="G464" s="40">
        <v>1343.9</v>
      </c>
      <c r="H464">
        <f t="shared" si="15"/>
        <v>-2.5235656498180381E-3</v>
      </c>
    </row>
    <row r="465" spans="2:8" x14ac:dyDescent="0.35">
      <c r="B465" s="74">
        <v>45114</v>
      </c>
      <c r="C465">
        <v>19331.8</v>
      </c>
      <c r="D465" s="64">
        <f t="shared" si="14"/>
        <v>-8.4883547978438223E-3</v>
      </c>
      <c r="F465" s="74">
        <v>45114</v>
      </c>
      <c r="G465" s="40">
        <v>1330.2</v>
      </c>
      <c r="H465">
        <f t="shared" si="15"/>
        <v>-1.0194210878785692E-2</v>
      </c>
    </row>
    <row r="466" spans="2:8" x14ac:dyDescent="0.35">
      <c r="B466" s="74">
        <v>45117</v>
      </c>
      <c r="C466">
        <v>19355.900000000001</v>
      </c>
      <c r="D466" s="64">
        <f t="shared" si="14"/>
        <v>1.2466505964268126E-3</v>
      </c>
      <c r="F466" s="74">
        <v>45117</v>
      </c>
      <c r="G466" s="40">
        <v>1329.15</v>
      </c>
      <c r="H466">
        <f t="shared" si="15"/>
        <v>-7.8935498421284223E-4</v>
      </c>
    </row>
    <row r="467" spans="2:8" x14ac:dyDescent="0.35">
      <c r="B467" s="74">
        <v>45118</v>
      </c>
      <c r="C467">
        <v>19439.400000000001</v>
      </c>
      <c r="D467" s="64">
        <f t="shared" si="14"/>
        <v>4.3139301194985435E-3</v>
      </c>
      <c r="F467" s="74">
        <v>45118</v>
      </c>
      <c r="G467" s="40">
        <v>1348.6</v>
      </c>
      <c r="H467">
        <f t="shared" si="15"/>
        <v>1.4633412331188866E-2</v>
      </c>
    </row>
    <row r="468" spans="2:8" x14ac:dyDescent="0.35">
      <c r="B468" s="74">
        <v>45119</v>
      </c>
      <c r="C468">
        <v>19384.3</v>
      </c>
      <c r="D468" s="64">
        <f t="shared" si="14"/>
        <v>-2.8344496229308902E-3</v>
      </c>
      <c r="F468" s="74">
        <v>45119</v>
      </c>
      <c r="G468" s="40">
        <v>1333.3</v>
      </c>
      <c r="H468">
        <f t="shared" si="15"/>
        <v>-1.1345098620791916E-2</v>
      </c>
    </row>
    <row r="469" spans="2:8" x14ac:dyDescent="0.35">
      <c r="B469" s="74">
        <v>45120</v>
      </c>
      <c r="C469">
        <v>19413.75</v>
      </c>
      <c r="D469" s="64">
        <f t="shared" si="14"/>
        <v>1.5192707500399916E-3</v>
      </c>
      <c r="F469" s="74">
        <v>45120</v>
      </c>
      <c r="G469" s="40">
        <v>1365.1</v>
      </c>
      <c r="H469">
        <f t="shared" si="15"/>
        <v>2.3850596264906487E-2</v>
      </c>
    </row>
    <row r="470" spans="2:8" x14ac:dyDescent="0.35">
      <c r="B470" s="74">
        <v>45121</v>
      </c>
      <c r="C470">
        <v>19564.5</v>
      </c>
      <c r="D470" s="64">
        <f t="shared" si="14"/>
        <v>7.7651149314275081E-3</v>
      </c>
      <c r="F470" s="74">
        <v>45121</v>
      </c>
      <c r="G470" s="40">
        <v>1425.95</v>
      </c>
      <c r="H470">
        <f t="shared" si="15"/>
        <v>4.4575488975166833E-2</v>
      </c>
    </row>
    <row r="471" spans="2:8" x14ac:dyDescent="0.35">
      <c r="B471" s="74">
        <v>45124</v>
      </c>
      <c r="C471">
        <v>19711.45</v>
      </c>
      <c r="D471" s="64">
        <f t="shared" si="14"/>
        <v>7.5110531830611116E-3</v>
      </c>
      <c r="F471" s="74">
        <v>45124</v>
      </c>
      <c r="G471" s="40">
        <v>1422.95</v>
      </c>
      <c r="H471">
        <f t="shared" si="15"/>
        <v>-2.1038605841720015E-3</v>
      </c>
    </row>
    <row r="472" spans="2:8" x14ac:dyDescent="0.35">
      <c r="B472" s="74">
        <v>45125</v>
      </c>
      <c r="C472">
        <v>19749.25</v>
      </c>
      <c r="D472" s="64">
        <f t="shared" si="14"/>
        <v>1.9176671427012515E-3</v>
      </c>
      <c r="F472" s="74">
        <v>45125</v>
      </c>
      <c r="G472" s="40">
        <v>1475.2</v>
      </c>
      <c r="H472">
        <f t="shared" si="15"/>
        <v>3.6719491197863663E-2</v>
      </c>
    </row>
    <row r="473" spans="2:8" x14ac:dyDescent="0.35">
      <c r="B473" s="74">
        <v>45126</v>
      </c>
      <c r="C473">
        <v>19833.150000000001</v>
      </c>
      <c r="D473" s="64">
        <f t="shared" si="14"/>
        <v>4.248262592250418E-3</v>
      </c>
      <c r="F473" s="74">
        <v>45126</v>
      </c>
      <c r="G473" s="40">
        <v>1474.95</v>
      </c>
      <c r="H473">
        <f t="shared" si="15"/>
        <v>-1.6946854663779654E-4</v>
      </c>
    </row>
    <row r="474" spans="2:8" x14ac:dyDescent="0.35">
      <c r="B474" s="74">
        <v>45127</v>
      </c>
      <c r="C474">
        <v>19979.150000000001</v>
      </c>
      <c r="D474" s="64">
        <f t="shared" si="14"/>
        <v>7.3614125844860823E-3</v>
      </c>
      <c r="F474" s="74">
        <v>45127</v>
      </c>
      <c r="G474" s="40">
        <v>1449.5</v>
      </c>
      <c r="H474">
        <f t="shared" si="15"/>
        <v>-1.7254822197362629E-2</v>
      </c>
    </row>
    <row r="475" spans="2:8" x14ac:dyDescent="0.35">
      <c r="B475" s="74">
        <v>45128</v>
      </c>
      <c r="C475">
        <v>19745</v>
      </c>
      <c r="D475" s="64">
        <f t="shared" si="14"/>
        <v>-1.1719717805812602E-2</v>
      </c>
      <c r="F475" s="74">
        <v>45128</v>
      </c>
      <c r="G475" s="40">
        <v>1331.6</v>
      </c>
      <c r="H475">
        <f t="shared" si="15"/>
        <v>-8.1338392549154981E-2</v>
      </c>
    </row>
    <row r="476" spans="2:8" x14ac:dyDescent="0.35">
      <c r="B476" s="74">
        <v>45131</v>
      </c>
      <c r="C476">
        <v>19672.349999999999</v>
      </c>
      <c r="D476" s="64">
        <f t="shared" si="14"/>
        <v>-3.679412509496105E-3</v>
      </c>
      <c r="F476" s="74">
        <v>45131</v>
      </c>
      <c r="G476" s="40">
        <v>1336.6</v>
      </c>
      <c r="H476">
        <f t="shared" si="15"/>
        <v>3.7548813457495278E-3</v>
      </c>
    </row>
    <row r="477" spans="2:8" x14ac:dyDescent="0.35">
      <c r="B477" s="74">
        <v>45132</v>
      </c>
      <c r="C477">
        <v>19680.599999999999</v>
      </c>
      <c r="D477" s="64">
        <f t="shared" si="14"/>
        <v>4.1937033450500927E-4</v>
      </c>
      <c r="F477" s="74">
        <v>45132</v>
      </c>
      <c r="G477" s="40">
        <v>1334.6</v>
      </c>
      <c r="H477">
        <f t="shared" si="15"/>
        <v>-1.4963339817447574E-3</v>
      </c>
    </row>
    <row r="478" spans="2:8" x14ac:dyDescent="0.35">
      <c r="B478" s="74">
        <v>45133</v>
      </c>
      <c r="C478">
        <v>19778.3</v>
      </c>
      <c r="D478" s="64">
        <f t="shared" si="14"/>
        <v>4.9642795443227694E-3</v>
      </c>
      <c r="F478" s="74">
        <v>45133</v>
      </c>
      <c r="G478" s="40">
        <v>1348.85</v>
      </c>
      <c r="H478">
        <f t="shared" si="15"/>
        <v>1.0677356511314295E-2</v>
      </c>
    </row>
    <row r="479" spans="2:8" x14ac:dyDescent="0.35">
      <c r="B479" s="74">
        <v>45134</v>
      </c>
      <c r="C479">
        <v>19659.900000000001</v>
      </c>
      <c r="D479" s="64">
        <f t="shared" si="14"/>
        <v>-5.9863587871554769E-3</v>
      </c>
      <c r="F479" s="74">
        <v>45134</v>
      </c>
      <c r="G479" s="40">
        <v>1353.15</v>
      </c>
      <c r="H479">
        <f t="shared" si="15"/>
        <v>3.1879008043891321E-3</v>
      </c>
    </row>
    <row r="480" spans="2:8" x14ac:dyDescent="0.35">
      <c r="B480" s="74">
        <v>45135</v>
      </c>
      <c r="C480">
        <v>19646.05</v>
      </c>
      <c r="D480" s="64">
        <f t="shared" si="14"/>
        <v>-7.044796769059003E-4</v>
      </c>
      <c r="F480" s="74">
        <v>45135</v>
      </c>
      <c r="G480" s="40">
        <v>1340.5</v>
      </c>
      <c r="H480">
        <f t="shared" si="15"/>
        <v>-9.3485570705391652E-3</v>
      </c>
    </row>
    <row r="481" spans="2:8" x14ac:dyDescent="0.35">
      <c r="B481" s="74">
        <v>45138</v>
      </c>
      <c r="C481">
        <v>19753.8</v>
      </c>
      <c r="D481" s="64">
        <f t="shared" si="14"/>
        <v>5.4845630546598301E-3</v>
      </c>
      <c r="F481" s="74">
        <v>45138</v>
      </c>
      <c r="G481" s="40">
        <v>1355.7</v>
      </c>
      <c r="H481">
        <f t="shared" si="15"/>
        <v>1.1339052592316268E-2</v>
      </c>
    </row>
    <row r="482" spans="2:8" x14ac:dyDescent="0.35">
      <c r="B482" s="74">
        <v>45139</v>
      </c>
      <c r="C482">
        <v>19733.55</v>
      </c>
      <c r="D482" s="64">
        <f t="shared" si="14"/>
        <v>-1.0251192175683155E-3</v>
      </c>
      <c r="F482" s="74">
        <v>45139</v>
      </c>
      <c r="G482" s="40">
        <v>1365.2</v>
      </c>
      <c r="H482">
        <f t="shared" si="15"/>
        <v>7.0074500258168193E-3</v>
      </c>
    </row>
    <row r="483" spans="2:8" x14ac:dyDescent="0.35">
      <c r="B483" s="74">
        <v>45140</v>
      </c>
      <c r="C483">
        <v>19526.55</v>
      </c>
      <c r="D483" s="64">
        <f t="shared" si="14"/>
        <v>-1.0489749690248296E-2</v>
      </c>
      <c r="F483" s="74">
        <v>45140</v>
      </c>
      <c r="G483" s="40">
        <v>1356.85</v>
      </c>
      <c r="H483">
        <f t="shared" si="15"/>
        <v>-6.1163199531205636E-3</v>
      </c>
    </row>
    <row r="484" spans="2:8" x14ac:dyDescent="0.35">
      <c r="B484" s="74">
        <v>45141</v>
      </c>
      <c r="C484">
        <v>19381.650000000001</v>
      </c>
      <c r="D484" s="64">
        <f t="shared" si="14"/>
        <v>-7.4206657089961325E-3</v>
      </c>
      <c r="F484" s="74">
        <v>45141</v>
      </c>
      <c r="G484" s="40">
        <v>1364.3</v>
      </c>
      <c r="H484">
        <f t="shared" si="15"/>
        <v>5.4906585105207739E-3</v>
      </c>
    </row>
    <row r="485" spans="2:8" x14ac:dyDescent="0.35">
      <c r="B485" s="74">
        <v>45142</v>
      </c>
      <c r="C485">
        <v>19517</v>
      </c>
      <c r="D485" s="64">
        <f t="shared" si="14"/>
        <v>6.983409565233023E-3</v>
      </c>
      <c r="F485" s="74">
        <v>45142</v>
      </c>
      <c r="G485" s="40">
        <v>1378.35</v>
      </c>
      <c r="H485">
        <f t="shared" si="15"/>
        <v>1.0298321483544592E-2</v>
      </c>
    </row>
    <row r="486" spans="2:8" x14ac:dyDescent="0.35">
      <c r="B486" s="74">
        <v>45145</v>
      </c>
      <c r="C486">
        <v>19597.3</v>
      </c>
      <c r="D486" s="64">
        <f t="shared" si="14"/>
        <v>4.1143618383971958E-3</v>
      </c>
      <c r="F486" s="74">
        <v>45145</v>
      </c>
      <c r="G486" s="40">
        <v>1393</v>
      </c>
      <c r="H486">
        <f t="shared" si="15"/>
        <v>1.0628650197700207E-2</v>
      </c>
    </row>
    <row r="487" spans="2:8" x14ac:dyDescent="0.35">
      <c r="B487" s="74">
        <v>45146</v>
      </c>
      <c r="C487">
        <v>19570.849999999999</v>
      </c>
      <c r="D487" s="64">
        <f t="shared" si="14"/>
        <v>-1.3496757206350463E-3</v>
      </c>
      <c r="F487" s="74">
        <v>45146</v>
      </c>
      <c r="G487" s="40">
        <v>1390.2</v>
      </c>
      <c r="H487">
        <f t="shared" si="15"/>
        <v>-2.0100502512562235E-3</v>
      </c>
    </row>
    <row r="488" spans="2:8" x14ac:dyDescent="0.35">
      <c r="B488" s="74">
        <v>45147</v>
      </c>
      <c r="C488">
        <v>19632.55</v>
      </c>
      <c r="D488" s="64">
        <f t="shared" si="14"/>
        <v>3.152647943242215E-3</v>
      </c>
      <c r="F488" s="74">
        <v>45147</v>
      </c>
      <c r="G488" s="40">
        <v>1394.4</v>
      </c>
      <c r="H488">
        <f t="shared" si="15"/>
        <v>3.0211480362538623E-3</v>
      </c>
    </row>
    <row r="489" spans="2:8" x14ac:dyDescent="0.35">
      <c r="B489" s="74">
        <v>45148</v>
      </c>
      <c r="C489">
        <v>19543.099999999999</v>
      </c>
      <c r="D489" s="64">
        <f t="shared" si="14"/>
        <v>-4.5562089489139534E-3</v>
      </c>
      <c r="F489" s="74">
        <v>45148</v>
      </c>
      <c r="G489" s="40">
        <v>1389.1</v>
      </c>
      <c r="H489">
        <f t="shared" si="15"/>
        <v>-3.8009179575445584E-3</v>
      </c>
    </row>
    <row r="490" spans="2:8" x14ac:dyDescent="0.35">
      <c r="B490" s="74">
        <v>45149</v>
      </c>
      <c r="C490">
        <v>19428.3</v>
      </c>
      <c r="D490" s="64">
        <f t="shared" si="14"/>
        <v>-5.8741960077981492E-3</v>
      </c>
      <c r="F490" s="74">
        <v>45149</v>
      </c>
      <c r="G490" s="40">
        <v>1371.85</v>
      </c>
      <c r="H490">
        <f t="shared" si="15"/>
        <v>-1.2418112446908047E-2</v>
      </c>
    </row>
    <row r="491" spans="2:8" x14ac:dyDescent="0.35">
      <c r="B491" s="74">
        <v>45152</v>
      </c>
      <c r="C491">
        <v>19434.55</v>
      </c>
      <c r="D491" s="64">
        <f t="shared" si="14"/>
        <v>3.2169567074835648E-4</v>
      </c>
      <c r="F491" s="74">
        <v>45152</v>
      </c>
      <c r="G491" s="40">
        <v>1393.55</v>
      </c>
      <c r="H491">
        <f t="shared" si="15"/>
        <v>1.5818055909902817E-2</v>
      </c>
    </row>
    <row r="492" spans="2:8" x14ac:dyDescent="0.35">
      <c r="B492" s="74">
        <v>45154</v>
      </c>
      <c r="C492">
        <v>19465</v>
      </c>
      <c r="D492" s="64">
        <f t="shared" si="14"/>
        <v>1.5667972759854099E-3</v>
      </c>
      <c r="F492" s="74">
        <v>45154</v>
      </c>
      <c r="G492" s="40">
        <v>1418.5</v>
      </c>
      <c r="H492">
        <f t="shared" si="15"/>
        <v>1.7903914463061943E-2</v>
      </c>
    </row>
    <row r="493" spans="2:8" x14ac:dyDescent="0.35">
      <c r="B493" s="74">
        <v>45155</v>
      </c>
      <c r="C493">
        <v>19365.25</v>
      </c>
      <c r="D493" s="64">
        <f t="shared" si="14"/>
        <v>-5.1245825841254034E-3</v>
      </c>
      <c r="F493" s="74">
        <v>45155</v>
      </c>
      <c r="G493" s="40">
        <v>1411.55</v>
      </c>
      <c r="H493">
        <f t="shared" si="15"/>
        <v>-4.8995417694748244E-3</v>
      </c>
    </row>
    <row r="494" spans="2:8" x14ac:dyDescent="0.35">
      <c r="B494" s="74">
        <v>45156</v>
      </c>
      <c r="C494">
        <v>19310.150000000001</v>
      </c>
      <c r="D494" s="64">
        <f t="shared" si="14"/>
        <v>-2.8453027975366973E-3</v>
      </c>
      <c r="F494" s="74">
        <v>45156</v>
      </c>
      <c r="G494" s="40">
        <v>1388.8</v>
      </c>
      <c r="H494">
        <f t="shared" si="15"/>
        <v>-1.6117034465658264E-2</v>
      </c>
    </row>
    <row r="495" spans="2:8" x14ac:dyDescent="0.35">
      <c r="B495" s="74">
        <v>45159</v>
      </c>
      <c r="C495">
        <v>19393.599999999999</v>
      </c>
      <c r="D495" s="64">
        <f t="shared" si="14"/>
        <v>4.3215614586109563E-3</v>
      </c>
      <c r="F495" s="74">
        <v>45159</v>
      </c>
      <c r="G495" s="40">
        <v>1405.4</v>
      </c>
      <c r="H495">
        <f t="shared" si="15"/>
        <v>1.195276497695863E-2</v>
      </c>
    </row>
    <row r="496" spans="2:8" x14ac:dyDescent="0.35">
      <c r="B496" s="74">
        <v>45160</v>
      </c>
      <c r="C496">
        <v>19396.45</v>
      </c>
      <c r="D496" s="64">
        <f t="shared" si="14"/>
        <v>1.4695569672484865E-4</v>
      </c>
      <c r="F496" s="74">
        <v>45160</v>
      </c>
      <c r="G496" s="40">
        <v>1403.75</v>
      </c>
      <c r="H496">
        <f t="shared" si="15"/>
        <v>-1.174042977088452E-3</v>
      </c>
    </row>
    <row r="497" spans="2:8" x14ac:dyDescent="0.35">
      <c r="B497" s="74">
        <v>45161</v>
      </c>
      <c r="C497">
        <v>19444</v>
      </c>
      <c r="D497" s="64">
        <f t="shared" si="14"/>
        <v>2.4514795233148146E-3</v>
      </c>
      <c r="F497" s="74">
        <v>45161</v>
      </c>
      <c r="G497" s="40">
        <v>1407.95</v>
      </c>
      <c r="H497">
        <f t="shared" si="15"/>
        <v>2.9919857524487448E-3</v>
      </c>
    </row>
    <row r="498" spans="2:8" x14ac:dyDescent="0.35">
      <c r="B498" s="74">
        <v>45162</v>
      </c>
      <c r="C498">
        <v>19386.7</v>
      </c>
      <c r="D498" s="64">
        <f t="shared" si="14"/>
        <v>-2.9469245011314316E-3</v>
      </c>
      <c r="F498" s="74">
        <v>45162</v>
      </c>
      <c r="G498" s="40">
        <v>1423.6</v>
      </c>
      <c r="H498">
        <f t="shared" si="15"/>
        <v>1.1115451543023402E-2</v>
      </c>
    </row>
    <row r="499" spans="2:8" x14ac:dyDescent="0.35">
      <c r="B499" s="74">
        <v>45163</v>
      </c>
      <c r="C499">
        <v>19265.8</v>
      </c>
      <c r="D499" s="64">
        <f t="shared" si="14"/>
        <v>-6.2362341192674364E-3</v>
      </c>
      <c r="F499" s="74">
        <v>45163</v>
      </c>
      <c r="G499" s="40">
        <v>1420.1</v>
      </c>
      <c r="H499">
        <f t="shared" si="15"/>
        <v>-2.458555774093818E-3</v>
      </c>
    </row>
    <row r="500" spans="2:8" x14ac:dyDescent="0.35">
      <c r="B500" s="74">
        <v>45166</v>
      </c>
      <c r="C500">
        <v>19306.05</v>
      </c>
      <c r="D500" s="64">
        <f t="shared" si="14"/>
        <v>2.0891943236200916E-3</v>
      </c>
      <c r="F500" s="74">
        <v>45166</v>
      </c>
      <c r="G500" s="40">
        <v>1415.65</v>
      </c>
      <c r="H500">
        <f t="shared" si="15"/>
        <v>-3.1335821421025756E-3</v>
      </c>
    </row>
    <row r="501" spans="2:8" x14ac:dyDescent="0.35">
      <c r="B501" s="74">
        <v>45167</v>
      </c>
      <c r="C501">
        <v>19342.650000000001</v>
      </c>
      <c r="D501" s="64">
        <f t="shared" si="14"/>
        <v>1.8957787843707496E-3</v>
      </c>
      <c r="F501" s="74">
        <v>45167</v>
      </c>
      <c r="G501" s="40">
        <v>1417.65</v>
      </c>
      <c r="H501">
        <f t="shared" si="15"/>
        <v>1.4127785822766192E-3</v>
      </c>
    </row>
    <row r="502" spans="2:8" x14ac:dyDescent="0.35">
      <c r="B502" s="74">
        <v>45168</v>
      </c>
      <c r="C502">
        <v>19347.45</v>
      </c>
      <c r="D502" s="64">
        <f t="shared" si="14"/>
        <v>2.4815627641494586E-4</v>
      </c>
      <c r="F502" s="74">
        <v>45168</v>
      </c>
      <c r="G502" s="40">
        <v>1435.15</v>
      </c>
      <c r="H502">
        <f t="shared" si="15"/>
        <v>1.2344372729517161E-2</v>
      </c>
    </row>
    <row r="503" spans="2:8" x14ac:dyDescent="0.35">
      <c r="B503" s="74">
        <v>45169</v>
      </c>
      <c r="C503">
        <v>19253.8</v>
      </c>
      <c r="D503" s="64">
        <f t="shared" si="14"/>
        <v>-4.840431167931758E-3</v>
      </c>
      <c r="F503" s="74">
        <v>45169</v>
      </c>
      <c r="G503" s="40">
        <v>1435.45</v>
      </c>
      <c r="H503">
        <f t="shared" si="15"/>
        <v>2.0903738285182882E-4</v>
      </c>
    </row>
    <row r="504" spans="2:8" x14ac:dyDescent="0.35">
      <c r="B504" s="74">
        <v>45170</v>
      </c>
      <c r="C504">
        <v>19435.3</v>
      </c>
      <c r="D504" s="64">
        <f t="shared" si="14"/>
        <v>9.4267105714196386E-3</v>
      </c>
      <c r="F504" s="74">
        <v>45170</v>
      </c>
      <c r="G504" s="40">
        <v>1443.85</v>
      </c>
      <c r="H504">
        <f t="shared" si="15"/>
        <v>5.8518234699918015E-3</v>
      </c>
    </row>
    <row r="505" spans="2:8" x14ac:dyDescent="0.35">
      <c r="B505" s="74">
        <v>45173</v>
      </c>
      <c r="C505">
        <v>19528.8</v>
      </c>
      <c r="D505" s="64">
        <f t="shared" si="14"/>
        <v>4.8108338950261231E-3</v>
      </c>
      <c r="F505" s="74">
        <v>45173</v>
      </c>
      <c r="G505" s="40">
        <v>1465.1</v>
      </c>
      <c r="H505">
        <f t="shared" si="15"/>
        <v>1.4717595318073151E-2</v>
      </c>
    </row>
    <row r="506" spans="2:8" x14ac:dyDescent="0.35">
      <c r="B506" s="74">
        <v>45174</v>
      </c>
      <c r="C506">
        <v>19574.900000000001</v>
      </c>
      <c r="D506" s="64">
        <f t="shared" si="14"/>
        <v>2.3606161156857208E-3</v>
      </c>
      <c r="F506" s="74">
        <v>45174</v>
      </c>
      <c r="G506" s="40">
        <v>1478.9</v>
      </c>
      <c r="H506">
        <f t="shared" si="15"/>
        <v>9.4191522762951951E-3</v>
      </c>
    </row>
    <row r="507" spans="2:8" x14ac:dyDescent="0.35">
      <c r="B507" s="74">
        <v>45175</v>
      </c>
      <c r="C507">
        <v>19611.05</v>
      </c>
      <c r="D507" s="64">
        <f t="shared" si="14"/>
        <v>1.8467527292602703E-3</v>
      </c>
      <c r="F507" s="74">
        <v>45175</v>
      </c>
      <c r="G507" s="40">
        <v>1477.45</v>
      </c>
      <c r="H507">
        <f t="shared" si="15"/>
        <v>-9.8045844884719902E-4</v>
      </c>
    </row>
    <row r="508" spans="2:8" x14ac:dyDescent="0.35">
      <c r="B508" s="74">
        <v>45176</v>
      </c>
      <c r="C508">
        <v>19727.05</v>
      </c>
      <c r="D508" s="64">
        <f t="shared" si="14"/>
        <v>5.91503259641879E-3</v>
      </c>
      <c r="F508" s="74">
        <v>45176</v>
      </c>
      <c r="G508" s="40">
        <v>1466.2</v>
      </c>
      <c r="H508">
        <f t="shared" si="15"/>
        <v>-7.6144708788791204E-3</v>
      </c>
    </row>
    <row r="509" spans="2:8" x14ac:dyDescent="0.35">
      <c r="B509" s="74">
        <v>45177</v>
      </c>
      <c r="C509">
        <v>19819.95</v>
      </c>
      <c r="D509" s="64">
        <f t="shared" si="14"/>
        <v>4.7092697590365162E-3</v>
      </c>
      <c r="F509" s="74">
        <v>45177</v>
      </c>
      <c r="G509" s="40">
        <v>1469.6</v>
      </c>
      <c r="H509">
        <f t="shared" si="15"/>
        <v>2.3189196562540815E-3</v>
      </c>
    </row>
    <row r="510" spans="2:8" x14ac:dyDescent="0.35">
      <c r="B510" s="74">
        <v>45180</v>
      </c>
      <c r="C510">
        <v>19996.349999999999</v>
      </c>
      <c r="D510" s="64">
        <f t="shared" si="14"/>
        <v>8.9001233605532359E-3</v>
      </c>
      <c r="F510" s="74">
        <v>45180</v>
      </c>
      <c r="G510" s="40">
        <v>1476.45</v>
      </c>
      <c r="H510">
        <f t="shared" si="15"/>
        <v>4.6611322808929323E-3</v>
      </c>
    </row>
    <row r="511" spans="2:8" x14ac:dyDescent="0.35">
      <c r="B511" s="74">
        <v>45181</v>
      </c>
      <c r="C511">
        <v>19993.2</v>
      </c>
      <c r="D511" s="64">
        <f t="shared" si="14"/>
        <v>-1.5752874899654934E-4</v>
      </c>
      <c r="F511" s="74">
        <v>45181</v>
      </c>
      <c r="G511" s="40">
        <v>1501.1</v>
      </c>
      <c r="H511">
        <f t="shared" si="15"/>
        <v>1.6695451928612437E-2</v>
      </c>
    </row>
    <row r="512" spans="2:8" x14ac:dyDescent="0.35">
      <c r="B512" s="74">
        <v>45182</v>
      </c>
      <c r="C512">
        <v>20070</v>
      </c>
      <c r="D512" s="64">
        <f t="shared" si="14"/>
        <v>3.8413060440549707E-3</v>
      </c>
      <c r="F512" s="74">
        <v>45182</v>
      </c>
      <c r="G512" s="40">
        <v>1498.35</v>
      </c>
      <c r="H512">
        <f t="shared" si="15"/>
        <v>-1.8319898740923879E-3</v>
      </c>
    </row>
    <row r="513" spans="2:8" x14ac:dyDescent="0.35">
      <c r="B513" s="74">
        <v>45183</v>
      </c>
      <c r="C513">
        <v>20103.099999999999</v>
      </c>
      <c r="D513" s="64">
        <f t="shared" si="14"/>
        <v>1.6492277030393243E-3</v>
      </c>
      <c r="F513" s="74">
        <v>45183</v>
      </c>
      <c r="G513" s="40">
        <v>1506.95</v>
      </c>
      <c r="H513">
        <f t="shared" si="15"/>
        <v>5.7396469449728649E-3</v>
      </c>
    </row>
    <row r="514" spans="2:8" x14ac:dyDescent="0.35">
      <c r="B514" s="74">
        <v>45184</v>
      </c>
      <c r="C514">
        <v>20192.349999999999</v>
      </c>
      <c r="D514" s="64">
        <f t="shared" si="14"/>
        <v>4.4396137909079592E-3</v>
      </c>
      <c r="F514" s="74">
        <v>45184</v>
      </c>
      <c r="G514" s="40">
        <v>1511.6</v>
      </c>
      <c r="H514">
        <f t="shared" si="15"/>
        <v>3.0857029098509958E-3</v>
      </c>
    </row>
    <row r="515" spans="2:8" x14ac:dyDescent="0.35">
      <c r="B515" s="74">
        <v>45187</v>
      </c>
      <c r="C515">
        <v>20133.3</v>
      </c>
      <c r="D515" s="64">
        <f t="shared" si="14"/>
        <v>-2.9243748251194246E-3</v>
      </c>
      <c r="F515" s="74">
        <v>45187</v>
      </c>
      <c r="G515" s="40">
        <v>1491.8</v>
      </c>
      <c r="H515">
        <f t="shared" si="15"/>
        <v>-1.3098703360677422E-2</v>
      </c>
    </row>
    <row r="516" spans="2:8" x14ac:dyDescent="0.35">
      <c r="B516" s="74">
        <v>45189</v>
      </c>
      <c r="C516">
        <v>19901.400000000001</v>
      </c>
      <c r="D516" s="64">
        <f t="shared" si="14"/>
        <v>-1.1518230990448575E-2</v>
      </c>
      <c r="F516" s="74">
        <v>45189</v>
      </c>
      <c r="G516" s="40">
        <v>1490.25</v>
      </c>
      <c r="H516">
        <f t="shared" si="15"/>
        <v>-1.0390132725566215E-3</v>
      </c>
    </row>
    <row r="517" spans="2:8" x14ac:dyDescent="0.35">
      <c r="B517" s="74">
        <v>45190</v>
      </c>
      <c r="C517">
        <v>19742.349999999999</v>
      </c>
      <c r="D517" s="64">
        <f t="shared" si="14"/>
        <v>-7.9919000673320806E-3</v>
      </c>
      <c r="F517" s="74">
        <v>45190</v>
      </c>
      <c r="G517" s="40">
        <v>1501.75</v>
      </c>
      <c r="H517">
        <f t="shared" si="15"/>
        <v>7.7168260358999596E-3</v>
      </c>
    </row>
    <row r="518" spans="2:8" x14ac:dyDescent="0.35">
      <c r="B518" s="74">
        <v>45191</v>
      </c>
      <c r="C518">
        <v>19674.25</v>
      </c>
      <c r="D518" s="64">
        <f t="shared" si="14"/>
        <v>-3.4494373770092013E-3</v>
      </c>
      <c r="F518" s="74">
        <v>45191</v>
      </c>
      <c r="G518" s="40">
        <v>1496.15</v>
      </c>
      <c r="H518">
        <f t="shared" si="15"/>
        <v>-3.7289828533376701E-3</v>
      </c>
    </row>
    <row r="519" spans="2:8" x14ac:dyDescent="0.35">
      <c r="B519" s="74">
        <v>45194</v>
      </c>
      <c r="C519">
        <v>19674.55</v>
      </c>
      <c r="D519" s="64">
        <f t="shared" ref="D519:D582" si="16">C519/C518-1</f>
        <v>1.5248357624786379E-5</v>
      </c>
      <c r="F519" s="74">
        <v>45194</v>
      </c>
      <c r="G519" s="40">
        <v>1474.15</v>
      </c>
      <c r="H519">
        <f t="shared" ref="H519:H582" si="17">G519/G518-1</f>
        <v>-1.4704407980483225E-2</v>
      </c>
    </row>
    <row r="520" spans="2:8" x14ac:dyDescent="0.35">
      <c r="B520" s="74">
        <v>45195</v>
      </c>
      <c r="C520">
        <v>19664.7</v>
      </c>
      <c r="D520" s="64">
        <f t="shared" si="16"/>
        <v>-5.0064677464023433E-4</v>
      </c>
      <c r="F520" s="74">
        <v>45195</v>
      </c>
      <c r="G520" s="40">
        <v>1460.65</v>
      </c>
      <c r="H520">
        <f t="shared" si="17"/>
        <v>-9.1578197605399758E-3</v>
      </c>
    </row>
    <row r="521" spans="2:8" x14ac:dyDescent="0.35">
      <c r="B521" s="74">
        <v>45196</v>
      </c>
      <c r="C521">
        <v>19716.45</v>
      </c>
      <c r="D521" s="64">
        <f t="shared" si="16"/>
        <v>2.6316190941126916E-3</v>
      </c>
      <c r="F521" s="74">
        <v>45196</v>
      </c>
      <c r="G521" s="40">
        <v>1467</v>
      </c>
      <c r="H521">
        <f t="shared" si="17"/>
        <v>4.3473795912778446E-3</v>
      </c>
    </row>
    <row r="522" spans="2:8" x14ac:dyDescent="0.35">
      <c r="B522" s="74">
        <v>45197</v>
      </c>
      <c r="C522">
        <v>19523.55</v>
      </c>
      <c r="D522" s="64">
        <f t="shared" si="16"/>
        <v>-9.7837085276508695E-3</v>
      </c>
      <c r="F522" s="74">
        <v>45197</v>
      </c>
      <c r="G522" s="40">
        <v>1439.45</v>
      </c>
      <c r="H522">
        <f t="shared" si="17"/>
        <v>-1.8779822767552745E-2</v>
      </c>
    </row>
    <row r="523" spans="2:8" x14ac:dyDescent="0.35">
      <c r="B523" s="74">
        <v>45198</v>
      </c>
      <c r="C523">
        <v>19638.3</v>
      </c>
      <c r="D523" s="64">
        <f t="shared" si="16"/>
        <v>5.8775171523621772E-3</v>
      </c>
      <c r="F523" s="74">
        <v>45198</v>
      </c>
      <c r="G523" s="40">
        <v>1435.45</v>
      </c>
      <c r="H523">
        <f t="shared" si="17"/>
        <v>-2.7788391399492518E-3</v>
      </c>
    </row>
    <row r="524" spans="2:8" x14ac:dyDescent="0.35">
      <c r="B524" s="74">
        <v>45202</v>
      </c>
      <c r="C524">
        <v>19528.75</v>
      </c>
      <c r="D524" s="64">
        <f t="shared" si="16"/>
        <v>-5.5783850944327584E-3</v>
      </c>
      <c r="F524" s="74">
        <v>45202</v>
      </c>
      <c r="G524" s="40">
        <v>1434</v>
      </c>
      <c r="H524">
        <f t="shared" si="17"/>
        <v>-1.0101361942248532E-3</v>
      </c>
    </row>
    <row r="525" spans="2:8" x14ac:dyDescent="0.35">
      <c r="B525" s="74">
        <v>45203</v>
      </c>
      <c r="C525">
        <v>19436.099999999999</v>
      </c>
      <c r="D525" s="64">
        <f t="shared" si="16"/>
        <v>-4.7442872687705195E-3</v>
      </c>
      <c r="F525" s="74">
        <v>45203</v>
      </c>
      <c r="G525" s="40">
        <v>1444.35</v>
      </c>
      <c r="H525">
        <f t="shared" si="17"/>
        <v>7.2175732217572008E-3</v>
      </c>
    </row>
    <row r="526" spans="2:8" x14ac:dyDescent="0.35">
      <c r="B526" s="74">
        <v>45204</v>
      </c>
      <c r="C526">
        <v>19545.75</v>
      </c>
      <c r="D526" s="64">
        <f t="shared" si="16"/>
        <v>5.6415638939910639E-3</v>
      </c>
      <c r="F526" s="74">
        <v>45204</v>
      </c>
      <c r="G526" s="40">
        <v>1463.45</v>
      </c>
      <c r="H526">
        <f t="shared" si="17"/>
        <v>1.3223941565410069E-2</v>
      </c>
    </row>
    <row r="527" spans="2:8" x14ac:dyDescent="0.35">
      <c r="B527" s="74">
        <v>45205</v>
      </c>
      <c r="C527">
        <v>19653.5</v>
      </c>
      <c r="D527" s="64">
        <f t="shared" si="16"/>
        <v>5.5127073660514725E-3</v>
      </c>
      <c r="F527" s="74">
        <v>45205</v>
      </c>
      <c r="G527" s="40">
        <v>1478.7</v>
      </c>
      <c r="H527">
        <f t="shared" si="17"/>
        <v>1.0420581502613713E-2</v>
      </c>
    </row>
    <row r="528" spans="2:8" x14ac:dyDescent="0.35">
      <c r="B528" s="74">
        <v>45208</v>
      </c>
      <c r="C528">
        <v>19512.349999999999</v>
      </c>
      <c r="D528" s="64">
        <f t="shared" si="16"/>
        <v>-7.1819268832524763E-3</v>
      </c>
      <c r="F528" s="74">
        <v>45208</v>
      </c>
      <c r="G528" s="40">
        <v>1475.45</v>
      </c>
      <c r="H528">
        <f t="shared" si="17"/>
        <v>-2.1978765131533962E-3</v>
      </c>
    </row>
    <row r="529" spans="2:8" x14ac:dyDescent="0.35">
      <c r="B529" s="74">
        <v>45209</v>
      </c>
      <c r="C529">
        <v>19689.849999999999</v>
      </c>
      <c r="D529" s="64">
        <f t="shared" si="16"/>
        <v>9.096802794127834E-3</v>
      </c>
      <c r="F529" s="74">
        <v>45209</v>
      </c>
      <c r="G529" s="40">
        <v>1495.15</v>
      </c>
      <c r="H529">
        <f t="shared" si="17"/>
        <v>1.3351858754956147E-2</v>
      </c>
    </row>
    <row r="530" spans="2:8" x14ac:dyDescent="0.35">
      <c r="B530" s="74">
        <v>45210</v>
      </c>
      <c r="C530">
        <v>19811.349999999999</v>
      </c>
      <c r="D530" s="64">
        <f t="shared" si="16"/>
        <v>6.1706920062876147E-3</v>
      </c>
      <c r="F530" s="74">
        <v>45210</v>
      </c>
      <c r="G530" s="40">
        <v>1494.4</v>
      </c>
      <c r="H530">
        <f t="shared" si="17"/>
        <v>-5.0162191084501817E-4</v>
      </c>
    </row>
    <row r="531" spans="2:8" x14ac:dyDescent="0.35">
      <c r="B531" s="74">
        <v>45211</v>
      </c>
      <c r="C531">
        <v>19794</v>
      </c>
      <c r="D531" s="64">
        <f t="shared" si="16"/>
        <v>-8.7576061197236488E-4</v>
      </c>
      <c r="F531" s="74">
        <v>45211</v>
      </c>
      <c r="G531" s="40">
        <v>1465.5</v>
      </c>
      <c r="H531">
        <f t="shared" si="17"/>
        <v>-1.9338865096359847E-2</v>
      </c>
    </row>
    <row r="532" spans="2:8" x14ac:dyDescent="0.35">
      <c r="B532" s="74">
        <v>45212</v>
      </c>
      <c r="C532">
        <v>19751.05</v>
      </c>
      <c r="D532" s="64">
        <f t="shared" si="16"/>
        <v>-2.1698494493280762E-3</v>
      </c>
      <c r="F532" s="74">
        <v>45212</v>
      </c>
      <c r="G532" s="40">
        <v>1431.15</v>
      </c>
      <c r="H532">
        <f t="shared" si="17"/>
        <v>-2.3439099283520948E-2</v>
      </c>
    </row>
    <row r="533" spans="2:8" x14ac:dyDescent="0.35">
      <c r="B533" s="74">
        <v>45215</v>
      </c>
      <c r="C533">
        <v>19731.75</v>
      </c>
      <c r="D533" s="64">
        <f t="shared" si="16"/>
        <v>-9.7716323942265149E-4</v>
      </c>
      <c r="F533" s="74">
        <v>45215</v>
      </c>
      <c r="G533" s="40">
        <v>1434.15</v>
      </c>
      <c r="H533">
        <f t="shared" si="17"/>
        <v>2.09621632952528E-3</v>
      </c>
    </row>
    <row r="534" spans="2:8" x14ac:dyDescent="0.35">
      <c r="B534" s="74">
        <v>45216</v>
      </c>
      <c r="C534">
        <v>19811.5</v>
      </c>
      <c r="D534" s="64">
        <f t="shared" si="16"/>
        <v>4.0417094276989918E-3</v>
      </c>
      <c r="F534" s="74">
        <v>45216</v>
      </c>
      <c r="G534" s="40">
        <v>1442.45</v>
      </c>
      <c r="H534">
        <f t="shared" si="17"/>
        <v>5.7874002022102466E-3</v>
      </c>
    </row>
    <row r="535" spans="2:8" x14ac:dyDescent="0.35">
      <c r="B535" s="74">
        <v>45217</v>
      </c>
      <c r="C535">
        <v>19671.099999999999</v>
      </c>
      <c r="D535" s="64">
        <f t="shared" si="16"/>
        <v>-7.0867930242536348E-3</v>
      </c>
      <c r="F535" s="74">
        <v>45217</v>
      </c>
      <c r="G535" s="40">
        <v>1440.55</v>
      </c>
      <c r="H535">
        <f t="shared" si="17"/>
        <v>-1.317203369267661E-3</v>
      </c>
    </row>
    <row r="536" spans="2:8" x14ac:dyDescent="0.35">
      <c r="B536" s="74">
        <v>45218</v>
      </c>
      <c r="C536">
        <v>19624.7</v>
      </c>
      <c r="D536" s="64">
        <f t="shared" si="16"/>
        <v>-2.358790306591807E-3</v>
      </c>
      <c r="F536" s="74">
        <v>45218</v>
      </c>
      <c r="G536" s="40">
        <v>1433.65</v>
      </c>
      <c r="H536">
        <f t="shared" si="17"/>
        <v>-4.7898372149525192E-3</v>
      </c>
    </row>
    <row r="537" spans="2:8" x14ac:dyDescent="0.35">
      <c r="B537" s="74">
        <v>45219</v>
      </c>
      <c r="C537">
        <v>19542.650000000001</v>
      </c>
      <c r="D537" s="64">
        <f t="shared" si="16"/>
        <v>-4.1809556324428065E-3</v>
      </c>
      <c r="F537" s="74">
        <v>45219</v>
      </c>
      <c r="G537" s="40">
        <v>1427.25</v>
      </c>
      <c r="H537">
        <f t="shared" si="17"/>
        <v>-4.4641300177867826E-3</v>
      </c>
    </row>
    <row r="538" spans="2:8" x14ac:dyDescent="0.35">
      <c r="B538" s="74">
        <v>45222</v>
      </c>
      <c r="C538">
        <v>19281.75</v>
      </c>
      <c r="D538" s="64">
        <f t="shared" si="16"/>
        <v>-1.3350287704072983E-2</v>
      </c>
      <c r="F538" s="74">
        <v>45222</v>
      </c>
      <c r="G538" s="40">
        <v>1408.65</v>
      </c>
      <c r="H538">
        <f t="shared" si="17"/>
        <v>-1.3032054650551683E-2</v>
      </c>
    </row>
    <row r="539" spans="2:8" x14ac:dyDescent="0.35">
      <c r="B539" s="74">
        <v>45224</v>
      </c>
      <c r="C539">
        <v>19122.150000000001</v>
      </c>
      <c r="D539" s="64">
        <f t="shared" si="16"/>
        <v>-8.2772569917148875E-3</v>
      </c>
      <c r="F539" s="74">
        <v>45224</v>
      </c>
      <c r="G539" s="40">
        <v>1370.05</v>
      </c>
      <c r="H539">
        <f t="shared" si="17"/>
        <v>-2.7402122599652246E-2</v>
      </c>
    </row>
    <row r="540" spans="2:8" x14ac:dyDescent="0.35">
      <c r="B540" s="74">
        <v>45225</v>
      </c>
      <c r="C540">
        <v>18857.25</v>
      </c>
      <c r="D540" s="64">
        <f t="shared" si="16"/>
        <v>-1.3853044767455636E-2</v>
      </c>
      <c r="F540" s="74">
        <v>45225</v>
      </c>
      <c r="G540" s="40">
        <v>1359.45</v>
      </c>
      <c r="H540">
        <f t="shared" si="17"/>
        <v>-7.7369439071566237E-3</v>
      </c>
    </row>
    <row r="541" spans="2:8" x14ac:dyDescent="0.35">
      <c r="B541" s="74">
        <v>45226</v>
      </c>
      <c r="C541">
        <v>19047.25</v>
      </c>
      <c r="D541" s="64">
        <f t="shared" si="16"/>
        <v>1.0075700327460302E-2</v>
      </c>
      <c r="F541" s="74">
        <v>45226</v>
      </c>
      <c r="G541" s="40">
        <v>1380.35</v>
      </c>
      <c r="H541">
        <f t="shared" si="17"/>
        <v>1.5373864430468176E-2</v>
      </c>
    </row>
    <row r="542" spans="2:8" x14ac:dyDescent="0.35">
      <c r="B542" s="74">
        <v>45229</v>
      </c>
      <c r="C542">
        <v>19140.900000000001</v>
      </c>
      <c r="D542" s="64">
        <f t="shared" si="16"/>
        <v>4.9167202614550654E-3</v>
      </c>
      <c r="F542" s="74">
        <v>45229</v>
      </c>
      <c r="G542" s="40">
        <v>1377.05</v>
      </c>
      <c r="H542">
        <f t="shared" si="17"/>
        <v>-2.3906980113739262E-3</v>
      </c>
    </row>
    <row r="543" spans="2:8" x14ac:dyDescent="0.35">
      <c r="B543" s="74">
        <v>45230</v>
      </c>
      <c r="C543">
        <v>19079.599999999999</v>
      </c>
      <c r="D543" s="64">
        <f t="shared" si="16"/>
        <v>-3.2025662325179116E-3</v>
      </c>
      <c r="F543" s="74">
        <v>45230</v>
      </c>
      <c r="G543" s="40">
        <v>1368.4</v>
      </c>
      <c r="H543">
        <f t="shared" si="17"/>
        <v>-6.2815438800333245E-3</v>
      </c>
    </row>
    <row r="544" spans="2:8" x14ac:dyDescent="0.35">
      <c r="B544" s="74">
        <v>45231</v>
      </c>
      <c r="C544">
        <v>18989.150000000001</v>
      </c>
      <c r="D544" s="64">
        <f t="shared" si="16"/>
        <v>-4.740665422755086E-3</v>
      </c>
      <c r="F544" s="74">
        <v>45231</v>
      </c>
      <c r="G544" s="40">
        <v>1354.15</v>
      </c>
      <c r="H544">
        <f t="shared" si="17"/>
        <v>-1.0413621748026847E-2</v>
      </c>
    </row>
    <row r="545" spans="2:8" x14ac:dyDescent="0.35">
      <c r="B545" s="74">
        <v>45232</v>
      </c>
      <c r="C545">
        <v>19133.25</v>
      </c>
      <c r="D545" s="64">
        <f t="shared" si="16"/>
        <v>7.5885439843277336E-3</v>
      </c>
      <c r="F545" s="74">
        <v>45232</v>
      </c>
      <c r="G545" s="40">
        <v>1370.15</v>
      </c>
      <c r="H545">
        <f t="shared" si="17"/>
        <v>1.1815530037292854E-2</v>
      </c>
    </row>
    <row r="546" spans="2:8" x14ac:dyDescent="0.35">
      <c r="B546" s="74">
        <v>45233</v>
      </c>
      <c r="C546">
        <v>19230.599999999999</v>
      </c>
      <c r="D546" s="64">
        <f t="shared" si="16"/>
        <v>5.0880012543608188E-3</v>
      </c>
      <c r="F546" s="74">
        <v>45233</v>
      </c>
      <c r="G546" s="40">
        <v>1389.05</v>
      </c>
      <c r="H546">
        <f t="shared" si="17"/>
        <v>1.3794110133926951E-2</v>
      </c>
    </row>
    <row r="547" spans="2:8" x14ac:dyDescent="0.35">
      <c r="B547" s="74">
        <v>45236</v>
      </c>
      <c r="C547">
        <v>19411.75</v>
      </c>
      <c r="D547" s="64">
        <f t="shared" si="16"/>
        <v>9.4198828949696445E-3</v>
      </c>
      <c r="F547" s="74">
        <v>45236</v>
      </c>
      <c r="G547" s="40">
        <v>1403.3</v>
      </c>
      <c r="H547">
        <f t="shared" si="17"/>
        <v>1.0258809978042516E-2</v>
      </c>
    </row>
    <row r="548" spans="2:8" x14ac:dyDescent="0.35">
      <c r="B548" s="74">
        <v>45237</v>
      </c>
      <c r="C548">
        <v>19406.7</v>
      </c>
      <c r="D548" s="64">
        <f t="shared" si="16"/>
        <v>-2.6015171223614519E-4</v>
      </c>
      <c r="F548" s="74">
        <v>45237</v>
      </c>
      <c r="G548" s="40">
        <v>1404.3</v>
      </c>
      <c r="H548">
        <f t="shared" si="17"/>
        <v>7.1260600014255715E-4</v>
      </c>
    </row>
    <row r="549" spans="2:8" x14ac:dyDescent="0.35">
      <c r="B549" s="74">
        <v>45238</v>
      </c>
      <c r="C549">
        <v>19443.5</v>
      </c>
      <c r="D549" s="64">
        <f t="shared" si="16"/>
        <v>1.8962523252279428E-3</v>
      </c>
      <c r="F549" s="74">
        <v>45238</v>
      </c>
      <c r="G549" s="40">
        <v>1391</v>
      </c>
      <c r="H549">
        <f t="shared" si="17"/>
        <v>-9.4709107740510445E-3</v>
      </c>
    </row>
    <row r="550" spans="2:8" x14ac:dyDescent="0.35">
      <c r="B550" s="74">
        <v>45239</v>
      </c>
      <c r="C550">
        <v>19395.3</v>
      </c>
      <c r="D550" s="64">
        <f t="shared" si="16"/>
        <v>-2.4789775503382128E-3</v>
      </c>
      <c r="F550" s="74">
        <v>45239</v>
      </c>
      <c r="G550" s="40">
        <v>1374.8</v>
      </c>
      <c r="H550">
        <f t="shared" si="17"/>
        <v>-1.164629762760605E-2</v>
      </c>
    </row>
    <row r="551" spans="2:8" x14ac:dyDescent="0.35">
      <c r="B551" s="74">
        <v>45240</v>
      </c>
      <c r="C551">
        <v>19425.349999999999</v>
      </c>
      <c r="D551" s="64">
        <f t="shared" si="16"/>
        <v>1.549344428804833E-3</v>
      </c>
      <c r="F551" s="74">
        <v>45240</v>
      </c>
      <c r="G551" s="40">
        <v>1368.85</v>
      </c>
      <c r="H551">
        <f t="shared" si="17"/>
        <v>-4.3279022403258649E-3</v>
      </c>
    </row>
    <row r="552" spans="2:8" x14ac:dyDescent="0.35">
      <c r="B552" s="74">
        <v>45242</v>
      </c>
      <c r="C552">
        <v>19525.55</v>
      </c>
      <c r="D552" s="64">
        <f t="shared" si="16"/>
        <v>5.1582082176124811E-3</v>
      </c>
      <c r="F552" s="74">
        <v>45242</v>
      </c>
      <c r="G552" s="40">
        <v>1388.2</v>
      </c>
      <c r="H552">
        <f t="shared" si="17"/>
        <v>1.4135953537641077E-2</v>
      </c>
    </row>
    <row r="553" spans="2:8" x14ac:dyDescent="0.35">
      <c r="B553" s="74">
        <v>45243</v>
      </c>
      <c r="C553">
        <v>19443.55</v>
      </c>
      <c r="D553" s="64">
        <f t="shared" si="16"/>
        <v>-4.1996256187405434E-3</v>
      </c>
      <c r="F553" s="74">
        <v>45243</v>
      </c>
      <c r="G553" s="40">
        <v>1373.55</v>
      </c>
      <c r="H553">
        <f t="shared" si="17"/>
        <v>-1.0553234404264589E-2</v>
      </c>
    </row>
    <row r="554" spans="2:8" x14ac:dyDescent="0.35">
      <c r="B554" s="74">
        <v>45245</v>
      </c>
      <c r="C554">
        <v>19675.45</v>
      </c>
      <c r="D554" s="64">
        <f t="shared" si="16"/>
        <v>1.1926834348665816E-2</v>
      </c>
      <c r="F554" s="74">
        <v>45245</v>
      </c>
      <c r="G554" s="40">
        <v>1410.5</v>
      </c>
      <c r="H554">
        <f t="shared" si="17"/>
        <v>2.6901095700921029E-2</v>
      </c>
    </row>
    <row r="555" spans="2:8" x14ac:dyDescent="0.35">
      <c r="B555" s="74">
        <v>45246</v>
      </c>
      <c r="C555">
        <v>19765.2</v>
      </c>
      <c r="D555" s="64">
        <f t="shared" si="16"/>
        <v>4.5615220998758144E-3</v>
      </c>
      <c r="F555" s="74">
        <v>45246</v>
      </c>
      <c r="G555" s="40">
        <v>1444.9</v>
      </c>
      <c r="H555">
        <f t="shared" si="17"/>
        <v>2.4388514711095377E-2</v>
      </c>
    </row>
    <row r="556" spans="2:8" x14ac:dyDescent="0.35">
      <c r="B556" s="74">
        <v>45247</v>
      </c>
      <c r="C556">
        <v>19731.8</v>
      </c>
      <c r="D556" s="64">
        <f t="shared" si="16"/>
        <v>-1.6898387064133713E-3</v>
      </c>
      <c r="F556" s="74">
        <v>45247</v>
      </c>
      <c r="G556" s="40">
        <v>1437.55</v>
      </c>
      <c r="H556">
        <f t="shared" si="17"/>
        <v>-5.0868572219531227E-3</v>
      </c>
    </row>
    <row r="557" spans="2:8" x14ac:dyDescent="0.35">
      <c r="B557" s="74">
        <v>45250</v>
      </c>
      <c r="C557">
        <v>19694</v>
      </c>
      <c r="D557" s="64">
        <f t="shared" si="16"/>
        <v>-1.915689394784037E-3</v>
      </c>
      <c r="F557" s="74">
        <v>45250</v>
      </c>
      <c r="G557" s="40">
        <v>1436.6</v>
      </c>
      <c r="H557">
        <f t="shared" si="17"/>
        <v>-6.6084657924947443E-4</v>
      </c>
    </row>
    <row r="558" spans="2:8" x14ac:dyDescent="0.35">
      <c r="B558" s="74">
        <v>45251</v>
      </c>
      <c r="C558">
        <v>19783.400000000001</v>
      </c>
      <c r="D558" s="64">
        <f t="shared" si="16"/>
        <v>4.5394536407028507E-3</v>
      </c>
      <c r="F558" s="74">
        <v>45251</v>
      </c>
      <c r="G558" s="40">
        <v>1439</v>
      </c>
      <c r="H558">
        <f t="shared" si="17"/>
        <v>1.6706111652513567E-3</v>
      </c>
    </row>
    <row r="559" spans="2:8" x14ac:dyDescent="0.35">
      <c r="B559" s="74">
        <v>45252</v>
      </c>
      <c r="C559">
        <v>19811.849999999999</v>
      </c>
      <c r="D559" s="64">
        <f t="shared" si="16"/>
        <v>1.4380743451578581E-3</v>
      </c>
      <c r="F559" s="74">
        <v>45252</v>
      </c>
      <c r="G559" s="40">
        <v>1457.8</v>
      </c>
      <c r="H559">
        <f t="shared" si="17"/>
        <v>1.3064628214037421E-2</v>
      </c>
    </row>
    <row r="560" spans="2:8" x14ac:dyDescent="0.35">
      <c r="B560" s="74">
        <v>45253</v>
      </c>
      <c r="C560">
        <v>19802</v>
      </c>
      <c r="D560" s="64">
        <f t="shared" si="16"/>
        <v>-4.971771944567438E-4</v>
      </c>
      <c r="F560" s="74">
        <v>45253</v>
      </c>
      <c r="G560" s="40">
        <v>1449.25</v>
      </c>
      <c r="H560">
        <f t="shared" si="17"/>
        <v>-5.8650020578954187E-3</v>
      </c>
    </row>
    <row r="561" spans="2:8" x14ac:dyDescent="0.35">
      <c r="B561" s="74">
        <v>45254</v>
      </c>
      <c r="C561">
        <v>19794.7</v>
      </c>
      <c r="D561" s="64">
        <f t="shared" si="16"/>
        <v>-3.6864963135030404E-4</v>
      </c>
      <c r="F561" s="74">
        <v>45254</v>
      </c>
      <c r="G561" s="40">
        <v>1437.4</v>
      </c>
      <c r="H561">
        <f t="shared" si="17"/>
        <v>-8.1766430912539878E-3</v>
      </c>
    </row>
    <row r="562" spans="2:8" x14ac:dyDescent="0.35">
      <c r="B562" s="74">
        <v>45258</v>
      </c>
      <c r="C562">
        <v>19889.7</v>
      </c>
      <c r="D562" s="64">
        <f t="shared" si="16"/>
        <v>4.7992644495749026E-3</v>
      </c>
      <c r="F562" s="74">
        <v>45258</v>
      </c>
      <c r="G562" s="40">
        <v>1442.7</v>
      </c>
      <c r="H562">
        <f t="shared" si="17"/>
        <v>3.6872130235146017E-3</v>
      </c>
    </row>
    <row r="563" spans="2:8" x14ac:dyDescent="0.35">
      <c r="B563" s="74">
        <v>45259</v>
      </c>
      <c r="C563">
        <v>20096.599999999999</v>
      </c>
      <c r="D563" s="64">
        <f t="shared" si="16"/>
        <v>1.04023690653956E-2</v>
      </c>
      <c r="F563" s="74">
        <v>45259</v>
      </c>
      <c r="G563" s="40">
        <v>1459.6</v>
      </c>
      <c r="H563">
        <f t="shared" si="17"/>
        <v>1.1714147085325921E-2</v>
      </c>
    </row>
    <row r="564" spans="2:8" x14ac:dyDescent="0.35">
      <c r="B564" s="74">
        <v>45260</v>
      </c>
      <c r="C564">
        <v>20133.150000000001</v>
      </c>
      <c r="D564" s="64">
        <f t="shared" si="16"/>
        <v>1.8187156036346686E-3</v>
      </c>
      <c r="F564" s="74">
        <v>45260</v>
      </c>
      <c r="G564" s="40">
        <v>1455.15</v>
      </c>
      <c r="H564">
        <f t="shared" si="17"/>
        <v>-3.0487804878047697E-3</v>
      </c>
    </row>
    <row r="565" spans="2:8" x14ac:dyDescent="0.35">
      <c r="B565" s="74">
        <v>45261</v>
      </c>
      <c r="C565">
        <v>20267.900000000001</v>
      </c>
      <c r="D565" s="64">
        <f t="shared" si="16"/>
        <v>6.6929417403636116E-3</v>
      </c>
      <c r="F565" s="74">
        <v>45261</v>
      </c>
      <c r="G565" s="40">
        <v>1452.3</v>
      </c>
      <c r="H565">
        <f t="shared" si="17"/>
        <v>-1.9585609730956577E-3</v>
      </c>
    </row>
    <row r="566" spans="2:8" x14ac:dyDescent="0.35">
      <c r="B566" s="74">
        <v>45264</v>
      </c>
      <c r="C566">
        <v>20686.8</v>
      </c>
      <c r="D566" s="64">
        <f t="shared" si="16"/>
        <v>2.0668150129021567E-2</v>
      </c>
      <c r="F566" s="74">
        <v>45264</v>
      </c>
      <c r="G566" s="40">
        <v>1464.35</v>
      </c>
      <c r="H566">
        <f t="shared" si="17"/>
        <v>8.2971837774563628E-3</v>
      </c>
    </row>
    <row r="567" spans="2:8" x14ac:dyDescent="0.35">
      <c r="B567" s="74">
        <v>45265</v>
      </c>
      <c r="C567">
        <v>20855.099999999999</v>
      </c>
      <c r="D567" s="64">
        <f t="shared" si="16"/>
        <v>8.1356227159348204E-3</v>
      </c>
      <c r="F567" s="74">
        <v>45265</v>
      </c>
      <c r="G567" s="40">
        <v>1453.95</v>
      </c>
      <c r="H567">
        <f t="shared" si="17"/>
        <v>-7.1021272236827526E-3</v>
      </c>
    </row>
    <row r="568" spans="2:8" x14ac:dyDescent="0.35">
      <c r="B568" s="74">
        <v>45266</v>
      </c>
      <c r="C568">
        <v>20937.7</v>
      </c>
      <c r="D568" s="64">
        <f t="shared" si="16"/>
        <v>3.9606619004464161E-3</v>
      </c>
      <c r="F568" s="74">
        <v>45266</v>
      </c>
      <c r="G568" s="40">
        <v>1474.3</v>
      </c>
      <c r="H568">
        <f t="shared" si="17"/>
        <v>1.3996354757728868E-2</v>
      </c>
    </row>
    <row r="569" spans="2:8" x14ac:dyDescent="0.35">
      <c r="B569" s="74">
        <v>45267</v>
      </c>
      <c r="C569">
        <v>20901.150000000001</v>
      </c>
      <c r="D569" s="64">
        <f t="shared" si="16"/>
        <v>-1.7456549668778409E-3</v>
      </c>
      <c r="F569" s="74">
        <v>45267</v>
      </c>
      <c r="G569" s="40">
        <v>1465.9</v>
      </c>
      <c r="H569">
        <f t="shared" si="17"/>
        <v>-5.6976192091160449E-3</v>
      </c>
    </row>
    <row r="570" spans="2:8" x14ac:dyDescent="0.35">
      <c r="B570" s="74">
        <v>45268</v>
      </c>
      <c r="C570">
        <v>20969.400000000001</v>
      </c>
      <c r="D570" s="64">
        <f t="shared" si="16"/>
        <v>3.2653705657343934E-3</v>
      </c>
      <c r="F570" s="74">
        <v>45268</v>
      </c>
      <c r="G570" s="40">
        <v>1491.15</v>
      </c>
      <c r="H570">
        <f t="shared" si="17"/>
        <v>1.7224913022716448E-2</v>
      </c>
    </row>
    <row r="571" spans="2:8" x14ac:dyDescent="0.35">
      <c r="B571" s="74">
        <v>45271</v>
      </c>
      <c r="C571">
        <v>20997.1</v>
      </c>
      <c r="D571" s="64">
        <f t="shared" si="16"/>
        <v>1.3209724646388032E-3</v>
      </c>
      <c r="F571" s="74">
        <v>45271</v>
      </c>
      <c r="G571" s="40">
        <v>1488.5</v>
      </c>
      <c r="H571">
        <f t="shared" si="17"/>
        <v>-1.7771518626563676E-3</v>
      </c>
    </row>
    <row r="572" spans="2:8" x14ac:dyDescent="0.35">
      <c r="B572" s="74">
        <v>45272</v>
      </c>
      <c r="C572">
        <v>20906.400000000001</v>
      </c>
      <c r="D572" s="64">
        <f t="shared" si="16"/>
        <v>-4.3196441413336784E-3</v>
      </c>
      <c r="F572" s="74">
        <v>45272</v>
      </c>
      <c r="G572" s="40">
        <v>1476.05</v>
      </c>
      <c r="H572">
        <f t="shared" si="17"/>
        <v>-8.3641249580114208E-3</v>
      </c>
    </row>
    <row r="573" spans="2:8" x14ac:dyDescent="0.35">
      <c r="B573" s="74">
        <v>45273</v>
      </c>
      <c r="C573">
        <v>20926.349999999999</v>
      </c>
      <c r="D573" s="64">
        <f t="shared" si="16"/>
        <v>9.5425324302600423E-4</v>
      </c>
      <c r="F573" s="74">
        <v>45273</v>
      </c>
      <c r="G573" s="40">
        <v>1449</v>
      </c>
      <c r="H573">
        <f t="shared" si="17"/>
        <v>-1.8325937468242959E-2</v>
      </c>
    </row>
    <row r="574" spans="2:8" x14ac:dyDescent="0.35">
      <c r="B574" s="74">
        <v>45274</v>
      </c>
      <c r="C574">
        <v>21182.7</v>
      </c>
      <c r="D574" s="64">
        <f t="shared" si="16"/>
        <v>1.2250105727946048E-2</v>
      </c>
      <c r="F574" s="74">
        <v>45274</v>
      </c>
      <c r="G574" s="40">
        <v>1501.45</v>
      </c>
      <c r="H574">
        <f t="shared" si="17"/>
        <v>3.619737750172547E-2</v>
      </c>
    </row>
    <row r="575" spans="2:8" x14ac:dyDescent="0.35">
      <c r="B575" s="74">
        <v>45275</v>
      </c>
      <c r="C575">
        <v>21456.65</v>
      </c>
      <c r="D575" s="64">
        <f t="shared" si="16"/>
        <v>1.2932723401643864E-2</v>
      </c>
      <c r="F575" s="74">
        <v>45275</v>
      </c>
      <c r="G575" s="40">
        <v>1578.4</v>
      </c>
      <c r="H575">
        <f t="shared" si="17"/>
        <v>5.1250457890705592E-2</v>
      </c>
    </row>
    <row r="576" spans="2:8" x14ac:dyDescent="0.35">
      <c r="B576" s="74">
        <v>45278</v>
      </c>
      <c r="C576">
        <v>21418.65</v>
      </c>
      <c r="D576" s="64">
        <f t="shared" si="16"/>
        <v>-1.7710127163373945E-3</v>
      </c>
      <c r="F576" s="74">
        <v>45278</v>
      </c>
      <c r="G576" s="40">
        <v>1564.35</v>
      </c>
      <c r="H576">
        <f t="shared" si="17"/>
        <v>-8.9014191586417324E-3</v>
      </c>
    </row>
    <row r="577" spans="2:8" x14ac:dyDescent="0.35">
      <c r="B577" s="74">
        <v>45279</v>
      </c>
      <c r="C577">
        <v>21453.1</v>
      </c>
      <c r="D577" s="64">
        <f t="shared" si="16"/>
        <v>1.6084113611267714E-3</v>
      </c>
      <c r="F577" s="74">
        <v>45279</v>
      </c>
      <c r="G577" s="40">
        <v>1558.3</v>
      </c>
      <c r="H577">
        <f t="shared" si="17"/>
        <v>-3.8674209735672926E-3</v>
      </c>
    </row>
    <row r="578" spans="2:8" x14ac:dyDescent="0.35">
      <c r="B578" s="74">
        <v>45280</v>
      </c>
      <c r="C578">
        <v>21150.15</v>
      </c>
      <c r="D578" s="64">
        <f t="shared" si="16"/>
        <v>-1.4121502253753415E-2</v>
      </c>
      <c r="F578" s="74">
        <v>45280</v>
      </c>
      <c r="G578" s="40">
        <v>1536.4</v>
      </c>
      <c r="H578">
        <f t="shared" si="17"/>
        <v>-1.4053776551369968E-2</v>
      </c>
    </row>
    <row r="579" spans="2:8" x14ac:dyDescent="0.35">
      <c r="B579" s="74">
        <v>45281</v>
      </c>
      <c r="C579">
        <v>21255.05</v>
      </c>
      <c r="D579" s="64">
        <f t="shared" si="16"/>
        <v>4.9597756989903097E-3</v>
      </c>
      <c r="F579" s="74">
        <v>45281</v>
      </c>
      <c r="G579" s="40">
        <v>1536</v>
      </c>
      <c r="H579">
        <f t="shared" si="17"/>
        <v>-2.6034886748249608E-4</v>
      </c>
    </row>
    <row r="580" spans="2:8" x14ac:dyDescent="0.35">
      <c r="B580" s="74">
        <v>45282</v>
      </c>
      <c r="C580">
        <v>21349.4</v>
      </c>
      <c r="D580" s="64">
        <f t="shared" si="16"/>
        <v>4.4389450977533329E-3</v>
      </c>
      <c r="F580" s="74">
        <v>45282</v>
      </c>
      <c r="G580" s="40">
        <v>1562.9</v>
      </c>
      <c r="H580">
        <f t="shared" si="17"/>
        <v>1.7513020833333393E-2</v>
      </c>
    </row>
    <row r="581" spans="2:8" x14ac:dyDescent="0.35">
      <c r="B581" s="74">
        <v>45286</v>
      </c>
      <c r="C581">
        <v>21441.35</v>
      </c>
      <c r="D581" s="64">
        <f t="shared" si="16"/>
        <v>4.306912606443225E-3</v>
      </c>
      <c r="F581" s="74">
        <v>45286</v>
      </c>
      <c r="G581" s="40">
        <v>1543.95</v>
      </c>
      <c r="H581">
        <f t="shared" si="17"/>
        <v>-1.212489602661726E-2</v>
      </c>
    </row>
    <row r="582" spans="2:8" x14ac:dyDescent="0.35">
      <c r="B582" s="74">
        <v>45287</v>
      </c>
      <c r="C582">
        <v>21654.75</v>
      </c>
      <c r="D582" s="64">
        <f t="shared" si="16"/>
        <v>9.9527315211029865E-3</v>
      </c>
      <c r="F582" s="74">
        <v>45287</v>
      </c>
      <c r="G582" s="40">
        <v>1567.1</v>
      </c>
      <c r="H582">
        <f t="shared" si="17"/>
        <v>1.4994008873344233E-2</v>
      </c>
    </row>
    <row r="583" spans="2:8" x14ac:dyDescent="0.35">
      <c r="B583" s="74">
        <v>45288</v>
      </c>
      <c r="C583">
        <v>21778.7</v>
      </c>
      <c r="D583" s="64">
        <f t="shared" ref="D583:D646" si="18">C583/C582-1</f>
        <v>5.7239173853311787E-3</v>
      </c>
      <c r="F583" s="74">
        <v>45288</v>
      </c>
      <c r="G583" s="40">
        <v>1562.65</v>
      </c>
      <c r="H583">
        <f t="shared" ref="H583:H646" si="19">G583/G582-1</f>
        <v>-2.8396400995468474E-3</v>
      </c>
    </row>
    <row r="584" spans="2:8" x14ac:dyDescent="0.35">
      <c r="B584" s="74">
        <v>45289</v>
      </c>
      <c r="C584">
        <v>21731.4</v>
      </c>
      <c r="D584" s="64">
        <f t="shared" si="18"/>
        <v>-2.1718468044464867E-3</v>
      </c>
      <c r="F584" s="74">
        <v>45289</v>
      </c>
      <c r="G584" s="40">
        <v>1542.9</v>
      </c>
      <c r="H584">
        <f t="shared" si="19"/>
        <v>-1.2638786676479108E-2</v>
      </c>
    </row>
    <row r="585" spans="2:8" x14ac:dyDescent="0.35">
      <c r="B585" s="74">
        <v>45292</v>
      </c>
      <c r="C585">
        <v>21741.9</v>
      </c>
      <c r="D585" s="64">
        <f t="shared" si="18"/>
        <v>4.8317181589774272E-4</v>
      </c>
      <c r="F585" s="74">
        <v>45292</v>
      </c>
      <c r="G585" s="40">
        <v>1551.35</v>
      </c>
      <c r="H585">
        <f t="shared" si="19"/>
        <v>5.4766997213038238E-3</v>
      </c>
    </row>
    <row r="586" spans="2:8" x14ac:dyDescent="0.35">
      <c r="B586" s="74">
        <v>45293</v>
      </c>
      <c r="C586">
        <v>21665.8</v>
      </c>
      <c r="D586" s="64">
        <f t="shared" si="18"/>
        <v>-3.5001540803702991E-3</v>
      </c>
      <c r="F586" s="74">
        <v>45293</v>
      </c>
      <c r="G586" s="40">
        <v>1534.4</v>
      </c>
      <c r="H586">
        <f t="shared" si="19"/>
        <v>-1.0925967705546658E-2</v>
      </c>
    </row>
    <row r="587" spans="2:8" x14ac:dyDescent="0.35">
      <c r="B587" s="74">
        <v>45294</v>
      </c>
      <c r="C587">
        <v>21517.35</v>
      </c>
      <c r="D587" s="64">
        <f t="shared" si="18"/>
        <v>-6.8518125340398806E-3</v>
      </c>
      <c r="F587" s="74">
        <v>45294</v>
      </c>
      <c r="G587" s="40">
        <v>1490</v>
      </c>
      <c r="H587">
        <f t="shared" si="19"/>
        <v>-2.8936392075078254E-2</v>
      </c>
    </row>
    <row r="588" spans="2:8" x14ac:dyDescent="0.35">
      <c r="B588" s="74">
        <v>45295</v>
      </c>
      <c r="C588">
        <v>21658.6</v>
      </c>
      <c r="D588" s="64">
        <f t="shared" si="18"/>
        <v>6.5644700671783074E-3</v>
      </c>
      <c r="F588" s="74">
        <v>45295</v>
      </c>
      <c r="G588" s="40">
        <v>1512.7</v>
      </c>
      <c r="H588">
        <f t="shared" si="19"/>
        <v>1.5234899328859131E-2</v>
      </c>
    </row>
    <row r="589" spans="2:8" x14ac:dyDescent="0.35">
      <c r="B589" s="74">
        <v>45296</v>
      </c>
      <c r="C589">
        <v>21710.799999999999</v>
      </c>
      <c r="D589" s="64">
        <f t="shared" si="18"/>
        <v>2.4101280784538659E-3</v>
      </c>
      <c r="F589" s="74">
        <v>45296</v>
      </c>
      <c r="G589" s="40">
        <v>1532.55</v>
      </c>
      <c r="H589">
        <f t="shared" si="19"/>
        <v>1.3122231771005355E-2</v>
      </c>
    </row>
    <row r="590" spans="2:8" x14ac:dyDescent="0.35">
      <c r="B590" s="74">
        <v>45299</v>
      </c>
      <c r="C590">
        <v>21513</v>
      </c>
      <c r="D590" s="64">
        <f t="shared" si="18"/>
        <v>-9.1106730290915205E-3</v>
      </c>
      <c r="F590" s="74">
        <v>45299</v>
      </c>
      <c r="G590" s="40">
        <v>1522.8</v>
      </c>
      <c r="H590">
        <f t="shared" si="19"/>
        <v>-6.3619457766467269E-3</v>
      </c>
    </row>
    <row r="591" spans="2:8" x14ac:dyDescent="0.35">
      <c r="B591" s="74">
        <v>45300</v>
      </c>
      <c r="C591">
        <v>21544.85</v>
      </c>
      <c r="D591" s="64">
        <f t="shared" si="18"/>
        <v>1.4805001626922998E-3</v>
      </c>
      <c r="F591" s="74">
        <v>45300</v>
      </c>
      <c r="G591" s="40">
        <v>1529.3</v>
      </c>
      <c r="H591">
        <f t="shared" si="19"/>
        <v>4.2684528500132046E-3</v>
      </c>
    </row>
    <row r="592" spans="2:8" x14ac:dyDescent="0.35">
      <c r="B592" s="74">
        <v>45301</v>
      </c>
      <c r="C592">
        <v>21618.7</v>
      </c>
      <c r="D592" s="64">
        <f t="shared" si="18"/>
        <v>3.4277333098164942E-3</v>
      </c>
      <c r="F592" s="74">
        <v>45301</v>
      </c>
      <c r="G592" s="40">
        <v>1519.9</v>
      </c>
      <c r="H592">
        <f t="shared" si="19"/>
        <v>-6.1466030209899047E-3</v>
      </c>
    </row>
    <row r="593" spans="2:8" x14ac:dyDescent="0.35">
      <c r="B593" s="74">
        <v>45302</v>
      </c>
      <c r="C593">
        <v>21647.200000000001</v>
      </c>
      <c r="D593" s="64">
        <f t="shared" si="18"/>
        <v>1.3183031357111297E-3</v>
      </c>
      <c r="F593" s="74">
        <v>45302</v>
      </c>
      <c r="G593" s="40">
        <v>1494.2</v>
      </c>
      <c r="H593">
        <f t="shared" si="19"/>
        <v>-1.6909007171524437E-2</v>
      </c>
    </row>
    <row r="594" spans="2:8" x14ac:dyDescent="0.35">
      <c r="B594" s="74">
        <v>45303</v>
      </c>
      <c r="C594">
        <v>21894.55</v>
      </c>
      <c r="D594" s="64">
        <f t="shared" si="18"/>
        <v>1.1426420045086649E-2</v>
      </c>
      <c r="F594" s="74">
        <v>45303</v>
      </c>
      <c r="G594" s="40">
        <v>1612.75</v>
      </c>
      <c r="H594">
        <f t="shared" si="19"/>
        <v>7.9340115111765419E-2</v>
      </c>
    </row>
    <row r="595" spans="2:8" x14ac:dyDescent="0.35">
      <c r="B595" s="74">
        <v>45306</v>
      </c>
      <c r="C595">
        <v>22097.45</v>
      </c>
      <c r="D595" s="64">
        <f t="shared" si="18"/>
        <v>9.2671463903117868E-3</v>
      </c>
      <c r="F595" s="74">
        <v>45306</v>
      </c>
      <c r="G595" s="40">
        <v>1652.1</v>
      </c>
      <c r="H595">
        <f t="shared" si="19"/>
        <v>2.4399317935203779E-2</v>
      </c>
    </row>
    <row r="596" spans="2:8" x14ac:dyDescent="0.35">
      <c r="B596" s="74">
        <v>45307</v>
      </c>
      <c r="C596">
        <v>22032.3</v>
      </c>
      <c r="D596" s="64">
        <f t="shared" si="18"/>
        <v>-2.9483039898269281E-3</v>
      </c>
      <c r="F596" s="74">
        <v>45307</v>
      </c>
      <c r="G596" s="40">
        <v>1631.55</v>
      </c>
      <c r="H596">
        <f t="shared" si="19"/>
        <v>-1.2438714363537273E-2</v>
      </c>
    </row>
    <row r="597" spans="2:8" x14ac:dyDescent="0.35">
      <c r="B597" s="74">
        <v>45308</v>
      </c>
      <c r="C597">
        <v>21571.95</v>
      </c>
      <c r="D597" s="64">
        <f t="shared" si="18"/>
        <v>-2.0894323334377241E-2</v>
      </c>
      <c r="F597" s="74">
        <v>45308</v>
      </c>
      <c r="G597" s="40">
        <v>1640.2</v>
      </c>
      <c r="H597">
        <f t="shared" si="19"/>
        <v>5.3017069657688154E-3</v>
      </c>
    </row>
    <row r="598" spans="2:8" x14ac:dyDescent="0.35">
      <c r="B598" s="74">
        <v>45309</v>
      </c>
      <c r="C598">
        <v>21462.25</v>
      </c>
      <c r="D598" s="64">
        <f t="shared" si="18"/>
        <v>-5.0853075405793424E-3</v>
      </c>
      <c r="F598" s="74">
        <v>45309</v>
      </c>
      <c r="G598" s="40">
        <v>1642.6</v>
      </c>
      <c r="H598">
        <f t="shared" si="19"/>
        <v>1.4632361907083169E-3</v>
      </c>
    </row>
    <row r="599" spans="2:8" x14ac:dyDescent="0.35">
      <c r="B599" s="74">
        <v>45310</v>
      </c>
      <c r="C599">
        <v>21622.400000000001</v>
      </c>
      <c r="D599" s="64">
        <f t="shared" si="18"/>
        <v>7.4619389858938678E-3</v>
      </c>
      <c r="F599" s="74">
        <v>45310</v>
      </c>
      <c r="G599" s="40">
        <v>1659.2</v>
      </c>
      <c r="H599">
        <f t="shared" si="19"/>
        <v>1.0105929623767329E-2</v>
      </c>
    </row>
    <row r="600" spans="2:8" x14ac:dyDescent="0.35">
      <c r="B600" s="74">
        <v>45311</v>
      </c>
      <c r="C600">
        <v>21571.8</v>
      </c>
      <c r="D600" s="64">
        <f t="shared" si="18"/>
        <v>-2.3401657540329523E-3</v>
      </c>
      <c r="F600" s="74">
        <v>45311</v>
      </c>
      <c r="G600" s="40">
        <v>1648.85</v>
      </c>
      <c r="H600">
        <f t="shared" si="19"/>
        <v>-6.2379459980714813E-3</v>
      </c>
    </row>
    <row r="601" spans="2:8" x14ac:dyDescent="0.35">
      <c r="B601" s="74">
        <v>45314</v>
      </c>
      <c r="C601">
        <v>21238.799999999999</v>
      </c>
      <c r="D601" s="64">
        <f t="shared" si="18"/>
        <v>-1.5436820293160514E-2</v>
      </c>
      <c r="F601" s="74">
        <v>45314</v>
      </c>
      <c r="G601" s="40">
        <v>1642.15</v>
      </c>
      <c r="H601">
        <f t="shared" si="19"/>
        <v>-4.0634381538646736E-3</v>
      </c>
    </row>
    <row r="602" spans="2:8" x14ac:dyDescent="0.35">
      <c r="B602" s="74">
        <v>45315</v>
      </c>
      <c r="C602">
        <v>21453.95</v>
      </c>
      <c r="D602" s="64">
        <f t="shared" si="18"/>
        <v>1.0130045011959243E-2</v>
      </c>
      <c r="F602" s="74">
        <v>45315</v>
      </c>
      <c r="G602" s="40">
        <v>1675.4</v>
      </c>
      <c r="H602">
        <f t="shared" si="19"/>
        <v>2.0247845811892873E-2</v>
      </c>
    </row>
    <row r="603" spans="2:8" x14ac:dyDescent="0.35">
      <c r="B603" s="74">
        <v>45316</v>
      </c>
      <c r="C603">
        <v>21352.6</v>
      </c>
      <c r="D603" s="64">
        <f t="shared" si="18"/>
        <v>-4.7240717909756702E-3</v>
      </c>
      <c r="F603" s="74">
        <v>45316</v>
      </c>
      <c r="G603" s="40">
        <v>1669.1</v>
      </c>
      <c r="H603">
        <f t="shared" si="19"/>
        <v>-3.7602960487048698E-3</v>
      </c>
    </row>
    <row r="604" spans="2:8" x14ac:dyDescent="0.35">
      <c r="B604" s="74">
        <v>45320</v>
      </c>
      <c r="C604">
        <v>21737.599999999999</v>
      </c>
      <c r="D604" s="64">
        <f t="shared" si="18"/>
        <v>1.8030591122392581E-2</v>
      </c>
      <c r="F604" s="74">
        <v>45320</v>
      </c>
      <c r="G604" s="40">
        <v>1656.6</v>
      </c>
      <c r="H604">
        <f t="shared" si="19"/>
        <v>-7.4890659636930312E-3</v>
      </c>
    </row>
    <row r="605" spans="2:8" x14ac:dyDescent="0.35">
      <c r="B605" s="74">
        <v>45321</v>
      </c>
      <c r="C605">
        <v>21522.1</v>
      </c>
      <c r="D605" s="64">
        <f t="shared" si="18"/>
        <v>-9.9136979243338308E-3</v>
      </c>
      <c r="F605" s="74">
        <v>45321</v>
      </c>
      <c r="G605" s="40">
        <v>1651.45</v>
      </c>
      <c r="H605">
        <f t="shared" si="19"/>
        <v>-3.1087770131593695E-3</v>
      </c>
    </row>
    <row r="606" spans="2:8" x14ac:dyDescent="0.35">
      <c r="B606" s="74">
        <v>45322</v>
      </c>
      <c r="C606">
        <v>21725.7</v>
      </c>
      <c r="D606" s="64">
        <f t="shared" si="18"/>
        <v>9.4600433972522602E-3</v>
      </c>
      <c r="F606" s="74">
        <v>45322</v>
      </c>
      <c r="G606" s="40">
        <v>1660.9</v>
      </c>
      <c r="H606">
        <f t="shared" si="19"/>
        <v>5.7222440885282833E-3</v>
      </c>
    </row>
    <row r="607" spans="2:8" x14ac:dyDescent="0.35">
      <c r="B607" s="74">
        <v>45323</v>
      </c>
      <c r="C607">
        <v>21697.45</v>
      </c>
      <c r="D607" s="64">
        <f t="shared" si="18"/>
        <v>-1.3003033273956133E-3</v>
      </c>
      <c r="F607" s="74">
        <v>45323</v>
      </c>
      <c r="G607" s="40">
        <v>1657.05</v>
      </c>
      <c r="H607">
        <f t="shared" si="19"/>
        <v>-2.3180203504125085E-3</v>
      </c>
    </row>
    <row r="608" spans="2:8" x14ac:dyDescent="0.35">
      <c r="B608" s="74">
        <v>45324</v>
      </c>
      <c r="C608">
        <v>21853.8</v>
      </c>
      <c r="D608" s="64">
        <f t="shared" si="18"/>
        <v>7.2059159025599229E-3</v>
      </c>
      <c r="F608" s="74">
        <v>45324</v>
      </c>
      <c r="G608" s="40">
        <v>1693.35</v>
      </c>
      <c r="H608">
        <f t="shared" si="19"/>
        <v>2.1906399927582143E-2</v>
      </c>
    </row>
    <row r="609" spans="2:8" x14ac:dyDescent="0.35">
      <c r="B609" s="74">
        <v>45327</v>
      </c>
      <c r="C609">
        <v>21771.7</v>
      </c>
      <c r="D609" s="64">
        <f t="shared" si="18"/>
        <v>-3.756783717248191E-3</v>
      </c>
      <c r="F609" s="74">
        <v>45327</v>
      </c>
      <c r="G609" s="40">
        <v>1687.2</v>
      </c>
      <c r="H609">
        <f t="shared" si="19"/>
        <v>-3.6318540171847991E-3</v>
      </c>
    </row>
    <row r="610" spans="2:8" x14ac:dyDescent="0.35">
      <c r="B610" s="74">
        <v>45328</v>
      </c>
      <c r="C610">
        <v>21929.4</v>
      </c>
      <c r="D610" s="64">
        <f t="shared" si="18"/>
        <v>7.2433480160023489E-3</v>
      </c>
      <c r="F610" s="74">
        <v>45328</v>
      </c>
      <c r="G610" s="40">
        <v>1729.45</v>
      </c>
      <c r="H610">
        <f t="shared" si="19"/>
        <v>2.5041488857278305E-2</v>
      </c>
    </row>
    <row r="611" spans="2:8" x14ac:dyDescent="0.35">
      <c r="B611" s="74">
        <v>45329</v>
      </c>
      <c r="C611">
        <v>21930.5</v>
      </c>
      <c r="D611" s="64">
        <f t="shared" si="18"/>
        <v>5.0160971116319786E-5</v>
      </c>
      <c r="F611" s="74">
        <v>45329</v>
      </c>
      <c r="G611" s="40">
        <v>1693.75</v>
      </c>
      <c r="H611">
        <f t="shared" si="19"/>
        <v>-2.0642400763248414E-2</v>
      </c>
    </row>
    <row r="612" spans="2:8" x14ac:dyDescent="0.35">
      <c r="B612" s="74">
        <v>45330</v>
      </c>
      <c r="C612">
        <v>21717.95</v>
      </c>
      <c r="D612" s="64">
        <f t="shared" si="18"/>
        <v>-9.6919814869701471E-3</v>
      </c>
      <c r="F612" s="74">
        <v>45330</v>
      </c>
      <c r="G612" s="40">
        <v>1692.1</v>
      </c>
      <c r="H612">
        <f t="shared" si="19"/>
        <v>-9.7416974169750592E-4</v>
      </c>
    </row>
    <row r="613" spans="2:8" x14ac:dyDescent="0.35">
      <c r="B613" s="74">
        <v>45331</v>
      </c>
      <c r="C613">
        <v>21782.5</v>
      </c>
      <c r="D613" s="64">
        <f t="shared" si="18"/>
        <v>2.9721958103781088E-3</v>
      </c>
      <c r="F613" s="74">
        <v>45331</v>
      </c>
      <c r="G613" s="40">
        <v>1669.35</v>
      </c>
      <c r="H613">
        <f t="shared" si="19"/>
        <v>-1.3444831865728979E-2</v>
      </c>
    </row>
    <row r="614" spans="2:8" x14ac:dyDescent="0.35">
      <c r="B614" s="74">
        <v>45334</v>
      </c>
      <c r="C614">
        <v>21616.05</v>
      </c>
      <c r="D614" s="64">
        <f t="shared" si="18"/>
        <v>-7.6414552966831417E-3</v>
      </c>
      <c r="F614" s="74">
        <v>45334</v>
      </c>
      <c r="G614" s="40">
        <v>1680.1</v>
      </c>
      <c r="H614">
        <f t="shared" si="19"/>
        <v>6.4396321921706967E-3</v>
      </c>
    </row>
    <row r="615" spans="2:8" x14ac:dyDescent="0.35">
      <c r="B615" s="74">
        <v>45335</v>
      </c>
      <c r="C615">
        <v>21743.25</v>
      </c>
      <c r="D615" s="64">
        <f t="shared" si="18"/>
        <v>5.8845163663112654E-3</v>
      </c>
      <c r="F615" s="74">
        <v>45335</v>
      </c>
      <c r="G615" s="40">
        <v>1684.55</v>
      </c>
      <c r="H615">
        <f t="shared" si="19"/>
        <v>2.6486518659603053E-3</v>
      </c>
    </row>
    <row r="616" spans="2:8" x14ac:dyDescent="0.35">
      <c r="B616" s="74">
        <v>45336</v>
      </c>
      <c r="C616">
        <v>21840.05</v>
      </c>
      <c r="D616" s="64">
        <f t="shared" si="18"/>
        <v>4.4519563542708696E-3</v>
      </c>
      <c r="F616" s="74">
        <v>45336</v>
      </c>
      <c r="G616" s="40">
        <v>1666.2</v>
      </c>
      <c r="H616">
        <f t="shared" si="19"/>
        <v>-1.0893116856133589E-2</v>
      </c>
    </row>
    <row r="617" spans="2:8" x14ac:dyDescent="0.35">
      <c r="B617" s="74">
        <v>45337</v>
      </c>
      <c r="C617">
        <v>21910.75</v>
      </c>
      <c r="D617" s="64">
        <f t="shared" si="18"/>
        <v>3.2371720760713263E-3</v>
      </c>
      <c r="F617" s="74">
        <v>45337</v>
      </c>
      <c r="G617" s="40">
        <v>1676.35</v>
      </c>
      <c r="H617">
        <f t="shared" si="19"/>
        <v>6.0917056775895428E-3</v>
      </c>
    </row>
    <row r="618" spans="2:8" x14ac:dyDescent="0.35">
      <c r="B618" s="74">
        <v>45338</v>
      </c>
      <c r="C618">
        <v>22040.7</v>
      </c>
      <c r="D618" s="64">
        <f t="shared" si="18"/>
        <v>5.9308786782743539E-3</v>
      </c>
      <c r="F618" s="74">
        <v>45338</v>
      </c>
      <c r="G618" s="40">
        <v>1701.65</v>
      </c>
      <c r="H618">
        <f t="shared" si="19"/>
        <v>1.509231365764907E-2</v>
      </c>
    </row>
    <row r="619" spans="2:8" x14ac:dyDescent="0.35">
      <c r="B619" s="74">
        <v>45341</v>
      </c>
      <c r="C619">
        <v>22122.25</v>
      </c>
      <c r="D619" s="64">
        <f t="shared" si="18"/>
        <v>3.6999732313400813E-3</v>
      </c>
      <c r="F619" s="74">
        <v>45341</v>
      </c>
      <c r="G619" s="40">
        <v>1699.75</v>
      </c>
      <c r="H619">
        <f t="shared" si="19"/>
        <v>-1.1165633355860738E-3</v>
      </c>
    </row>
    <row r="620" spans="2:8" x14ac:dyDescent="0.35">
      <c r="B620" s="74">
        <v>45342</v>
      </c>
      <c r="C620">
        <v>22196.95</v>
      </c>
      <c r="D620" s="64">
        <f t="shared" si="18"/>
        <v>3.3766908881329716E-3</v>
      </c>
      <c r="F620" s="74">
        <v>45342</v>
      </c>
      <c r="G620" s="40">
        <v>1685.25</v>
      </c>
      <c r="H620">
        <f t="shared" si="19"/>
        <v>-8.5306662744520922E-3</v>
      </c>
    </row>
    <row r="621" spans="2:8" x14ac:dyDescent="0.35">
      <c r="B621" s="74">
        <v>45343</v>
      </c>
      <c r="C621">
        <v>22055.05</v>
      </c>
      <c r="D621" s="64">
        <f t="shared" si="18"/>
        <v>-6.3927701778848656E-3</v>
      </c>
      <c r="F621" s="74">
        <v>45343</v>
      </c>
      <c r="G621" s="40">
        <v>1655.55</v>
      </c>
      <c r="H621">
        <f t="shared" si="19"/>
        <v>-1.7623497997329762E-2</v>
      </c>
    </row>
    <row r="622" spans="2:8" x14ac:dyDescent="0.35">
      <c r="B622" s="74">
        <v>45344</v>
      </c>
      <c r="C622">
        <v>22217.45</v>
      </c>
      <c r="D622" s="64">
        <f t="shared" si="18"/>
        <v>7.3633929644232321E-3</v>
      </c>
      <c r="F622" s="74">
        <v>45344</v>
      </c>
      <c r="G622" s="40">
        <v>1681.35</v>
      </c>
      <c r="H622">
        <f t="shared" si="19"/>
        <v>1.5583944912566761E-2</v>
      </c>
    </row>
    <row r="623" spans="2:8" x14ac:dyDescent="0.35">
      <c r="B623" s="74">
        <v>45345</v>
      </c>
      <c r="C623">
        <v>22212.7</v>
      </c>
      <c r="D623" s="64">
        <f t="shared" si="18"/>
        <v>-2.1379591267223219E-4</v>
      </c>
      <c r="F623" s="74">
        <v>45345</v>
      </c>
      <c r="G623" s="40">
        <v>1676.85</v>
      </c>
      <c r="H623">
        <f t="shared" si="19"/>
        <v>-2.6764207333392909E-3</v>
      </c>
    </row>
    <row r="624" spans="2:8" x14ac:dyDescent="0.35">
      <c r="B624" s="74">
        <v>45348</v>
      </c>
      <c r="C624">
        <v>22122.05</v>
      </c>
      <c r="D624" s="64">
        <f t="shared" si="18"/>
        <v>-4.0809987079464261E-3</v>
      </c>
      <c r="F624" s="74">
        <v>45348</v>
      </c>
      <c r="G624" s="40">
        <v>1660.15</v>
      </c>
      <c r="H624">
        <f t="shared" si="19"/>
        <v>-9.9591495959685528E-3</v>
      </c>
    </row>
    <row r="625" spans="2:8" x14ac:dyDescent="0.35">
      <c r="B625" s="74">
        <v>45349</v>
      </c>
      <c r="C625">
        <v>22198.35</v>
      </c>
      <c r="D625" s="64">
        <f t="shared" si="18"/>
        <v>3.4490474436139618E-3</v>
      </c>
      <c r="F625" s="74">
        <v>45349</v>
      </c>
      <c r="G625" s="40">
        <v>1663.6</v>
      </c>
      <c r="H625">
        <f t="shared" si="19"/>
        <v>2.0781254705899421E-3</v>
      </c>
    </row>
    <row r="626" spans="2:8" x14ac:dyDescent="0.35">
      <c r="B626" s="74">
        <v>45350</v>
      </c>
      <c r="C626">
        <v>21951.15</v>
      </c>
      <c r="D626" s="64">
        <f t="shared" si="18"/>
        <v>-1.1135962808046407E-2</v>
      </c>
      <c r="F626" s="74">
        <v>45350</v>
      </c>
      <c r="G626" s="40">
        <v>1671.25</v>
      </c>
      <c r="H626">
        <f t="shared" si="19"/>
        <v>4.5984611685501164E-3</v>
      </c>
    </row>
    <row r="627" spans="2:8" x14ac:dyDescent="0.35">
      <c r="B627" s="74">
        <v>45351</v>
      </c>
      <c r="C627">
        <v>21982.799999999999</v>
      </c>
      <c r="D627" s="64">
        <f t="shared" si="18"/>
        <v>1.4418378991531977E-3</v>
      </c>
      <c r="F627" s="74">
        <v>45351</v>
      </c>
      <c r="G627" s="40">
        <v>1673.9</v>
      </c>
      <c r="H627">
        <f t="shared" si="19"/>
        <v>1.5856394913986716E-3</v>
      </c>
    </row>
    <row r="628" spans="2:8" x14ac:dyDescent="0.35">
      <c r="B628" s="74">
        <v>45352</v>
      </c>
      <c r="C628">
        <v>22338.75</v>
      </c>
      <c r="D628" s="64">
        <f t="shared" si="18"/>
        <v>1.6192204814673428E-2</v>
      </c>
      <c r="F628" s="74">
        <v>45352</v>
      </c>
      <c r="G628" s="40">
        <v>1654.7</v>
      </c>
      <c r="H628">
        <f t="shared" si="19"/>
        <v>-1.1470219248461699E-2</v>
      </c>
    </row>
    <row r="629" spans="2:8" x14ac:dyDescent="0.35">
      <c r="B629" s="74">
        <v>45353</v>
      </c>
      <c r="C629">
        <v>22378.400000000001</v>
      </c>
      <c r="D629" s="64">
        <f t="shared" si="18"/>
        <v>1.7749426445079486E-3</v>
      </c>
      <c r="F629" s="74">
        <v>45353</v>
      </c>
      <c r="G629" s="40">
        <v>1656.3</v>
      </c>
      <c r="H629">
        <f t="shared" si="19"/>
        <v>9.6694264821417519E-4</v>
      </c>
    </row>
    <row r="630" spans="2:8" x14ac:dyDescent="0.35">
      <c r="B630" s="74">
        <v>45355</v>
      </c>
      <c r="C630">
        <v>22405.599999999999</v>
      </c>
      <c r="D630" s="64">
        <f t="shared" si="18"/>
        <v>1.2154577628427088E-3</v>
      </c>
      <c r="F630" s="74">
        <v>45355</v>
      </c>
      <c r="G630" s="40">
        <v>1637.2</v>
      </c>
      <c r="H630">
        <f t="shared" si="19"/>
        <v>-1.1531727344080145E-2</v>
      </c>
    </row>
    <row r="631" spans="2:8" x14ac:dyDescent="0.35">
      <c r="B631" s="74">
        <v>45356</v>
      </c>
      <c r="C631">
        <v>22356.3</v>
      </c>
      <c r="D631" s="64">
        <f t="shared" si="18"/>
        <v>-2.2003427714499812E-3</v>
      </c>
      <c r="F631" s="74">
        <v>45356</v>
      </c>
      <c r="G631" s="40">
        <v>1606.5</v>
      </c>
      <c r="H631">
        <f t="shared" si="19"/>
        <v>-1.8751526997312529E-2</v>
      </c>
    </row>
    <row r="632" spans="2:8" x14ac:dyDescent="0.35">
      <c r="B632" s="74">
        <v>45357</v>
      </c>
      <c r="C632">
        <v>22474.05</v>
      </c>
      <c r="D632" s="64">
        <f t="shared" si="18"/>
        <v>5.2669717260906967E-3</v>
      </c>
      <c r="F632" s="74">
        <v>45357</v>
      </c>
      <c r="G632" s="40">
        <v>1617.55</v>
      </c>
      <c r="H632">
        <f t="shared" si="19"/>
        <v>6.8783068783069279E-3</v>
      </c>
    </row>
    <row r="633" spans="2:8" x14ac:dyDescent="0.35">
      <c r="B633" s="74">
        <v>45358</v>
      </c>
      <c r="C633">
        <v>22493.55</v>
      </c>
      <c r="D633" s="64">
        <f t="shared" si="18"/>
        <v>8.6766737637411495E-4</v>
      </c>
      <c r="F633" s="74">
        <v>45358</v>
      </c>
      <c r="G633" s="40">
        <v>1616.45</v>
      </c>
      <c r="H633">
        <f t="shared" si="19"/>
        <v>-6.8004080244810083E-4</v>
      </c>
    </row>
    <row r="634" spans="2:8" x14ac:dyDescent="0.35">
      <c r="B634" s="74">
        <v>45362</v>
      </c>
      <c r="C634">
        <v>22332.65</v>
      </c>
      <c r="D634" s="64">
        <f t="shared" si="18"/>
        <v>-7.1531616841271628E-3</v>
      </c>
      <c r="F634" s="74">
        <v>45362</v>
      </c>
      <c r="G634" s="40">
        <v>1600.6</v>
      </c>
      <c r="H634">
        <f t="shared" si="19"/>
        <v>-9.8054378421851274E-3</v>
      </c>
    </row>
    <row r="635" spans="2:8" x14ac:dyDescent="0.35">
      <c r="B635" s="74">
        <v>45363</v>
      </c>
      <c r="C635">
        <v>22335.7</v>
      </c>
      <c r="D635" s="64">
        <f t="shared" si="18"/>
        <v>1.3657134285449679E-4</v>
      </c>
      <c r="F635" s="74">
        <v>45363</v>
      </c>
      <c r="G635" s="40">
        <v>1612.95</v>
      </c>
      <c r="H635">
        <f t="shared" si="19"/>
        <v>7.7158565537924773E-3</v>
      </c>
    </row>
    <row r="636" spans="2:8" x14ac:dyDescent="0.35">
      <c r="B636" s="74">
        <v>45364</v>
      </c>
      <c r="C636">
        <v>21997.7</v>
      </c>
      <c r="D636" s="64">
        <f t="shared" si="18"/>
        <v>-1.5132724741109493E-2</v>
      </c>
      <c r="F636" s="74">
        <v>45364</v>
      </c>
      <c r="G636" s="40">
        <v>1611.4</v>
      </c>
      <c r="H636">
        <f t="shared" si="19"/>
        <v>-9.6097213180812435E-4</v>
      </c>
    </row>
    <row r="637" spans="2:8" x14ac:dyDescent="0.35">
      <c r="B637" s="74">
        <v>45365</v>
      </c>
      <c r="C637">
        <v>22146.65</v>
      </c>
      <c r="D637" s="64">
        <f t="shared" si="18"/>
        <v>6.7711624397095438E-3</v>
      </c>
      <c r="F637" s="74">
        <v>45365</v>
      </c>
      <c r="G637" s="40">
        <v>1653.3</v>
      </c>
      <c r="H637">
        <f t="shared" si="19"/>
        <v>2.6002234082164399E-2</v>
      </c>
    </row>
    <row r="638" spans="2:8" x14ac:dyDescent="0.35">
      <c r="B638" s="74">
        <v>45366</v>
      </c>
      <c r="C638">
        <v>22023.35</v>
      </c>
      <c r="D638" s="64">
        <f t="shared" si="18"/>
        <v>-5.5674334493028832E-3</v>
      </c>
      <c r="F638" s="74">
        <v>45366</v>
      </c>
      <c r="G638" s="40">
        <v>1634</v>
      </c>
      <c r="H638">
        <f t="shared" si="19"/>
        <v>-1.1673622452065491E-2</v>
      </c>
    </row>
    <row r="639" spans="2:8" x14ac:dyDescent="0.35">
      <c r="B639" s="74">
        <v>45369</v>
      </c>
      <c r="C639">
        <v>22055.7</v>
      </c>
      <c r="D639" s="64">
        <f t="shared" si="18"/>
        <v>1.4688955131714199E-3</v>
      </c>
      <c r="F639" s="74">
        <v>45369</v>
      </c>
      <c r="G639" s="40">
        <v>1602.65</v>
      </c>
      <c r="H639">
        <f t="shared" si="19"/>
        <v>-1.9186046511627808E-2</v>
      </c>
    </row>
    <row r="640" spans="2:8" x14ac:dyDescent="0.35">
      <c r="B640" s="74">
        <v>45370</v>
      </c>
      <c r="C640">
        <v>21817.45</v>
      </c>
      <c r="D640" s="64">
        <f t="shared" si="18"/>
        <v>-1.0802196257656771E-2</v>
      </c>
      <c r="F640" s="74">
        <v>45370</v>
      </c>
      <c r="G640" s="40">
        <v>1561.45</v>
      </c>
      <c r="H640">
        <f t="shared" si="19"/>
        <v>-2.5707422082176468E-2</v>
      </c>
    </row>
    <row r="641" spans="2:8" x14ac:dyDescent="0.35">
      <c r="B641" s="74">
        <v>45371</v>
      </c>
      <c r="C641">
        <v>21839.1</v>
      </c>
      <c r="D641" s="64">
        <f t="shared" si="18"/>
        <v>9.9232495089940365E-4</v>
      </c>
      <c r="F641" s="74">
        <v>45371</v>
      </c>
      <c r="G641" s="40">
        <v>1554.95</v>
      </c>
      <c r="H641">
        <f t="shared" si="19"/>
        <v>-4.1627973998527024E-3</v>
      </c>
    </row>
    <row r="642" spans="2:8" x14ac:dyDescent="0.35">
      <c r="B642" s="74">
        <v>45372</v>
      </c>
      <c r="C642">
        <v>22011.95</v>
      </c>
      <c r="D642" s="64">
        <f t="shared" si="18"/>
        <v>7.9147034447391018E-3</v>
      </c>
      <c r="F642" s="74">
        <v>45372</v>
      </c>
      <c r="G642" s="40">
        <v>1554.7</v>
      </c>
      <c r="H642">
        <f t="shared" si="19"/>
        <v>-1.6077687385451789E-4</v>
      </c>
    </row>
    <row r="643" spans="2:8" x14ac:dyDescent="0.35">
      <c r="B643" s="74">
        <v>45373</v>
      </c>
      <c r="C643">
        <v>22096.75</v>
      </c>
      <c r="D643" s="64">
        <f t="shared" si="18"/>
        <v>3.8524528721899376E-3</v>
      </c>
      <c r="F643" s="74">
        <v>45373</v>
      </c>
      <c r="G643" s="40">
        <v>1508.85</v>
      </c>
      <c r="H643">
        <f t="shared" si="19"/>
        <v>-2.9491220171094179E-2</v>
      </c>
    </row>
    <row r="644" spans="2:8" x14ac:dyDescent="0.35">
      <c r="B644" s="74">
        <v>45377</v>
      </c>
      <c r="C644">
        <v>22004.7</v>
      </c>
      <c r="D644" s="64">
        <f t="shared" si="18"/>
        <v>-4.1657709844207247E-3</v>
      </c>
      <c r="F644" s="74">
        <v>45377</v>
      </c>
      <c r="G644" s="40">
        <v>1492.65</v>
      </c>
      <c r="H644">
        <f t="shared" si="19"/>
        <v>-1.0736653742916658E-2</v>
      </c>
    </row>
    <row r="645" spans="2:8" x14ac:dyDescent="0.35">
      <c r="B645" s="74">
        <v>45378</v>
      </c>
      <c r="C645">
        <v>22123.65</v>
      </c>
      <c r="D645" s="64">
        <f t="shared" si="18"/>
        <v>5.4056633355601402E-3</v>
      </c>
      <c r="F645" s="74">
        <v>45378</v>
      </c>
      <c r="G645" s="40">
        <v>1483.85</v>
      </c>
      <c r="H645">
        <f t="shared" si="19"/>
        <v>-5.8955548856062245E-3</v>
      </c>
    </row>
    <row r="646" spans="2:8" x14ac:dyDescent="0.35">
      <c r="B646" s="74">
        <v>45379</v>
      </c>
      <c r="C646">
        <v>22326.9</v>
      </c>
      <c r="D646" s="64">
        <f t="shared" si="18"/>
        <v>9.1870012407537782E-3</v>
      </c>
      <c r="F646" s="74">
        <v>45379</v>
      </c>
      <c r="G646" s="40">
        <v>1498.05</v>
      </c>
      <c r="H646">
        <f t="shared" si="19"/>
        <v>9.5697004414192488E-3</v>
      </c>
    </row>
    <row r="647" spans="2:8" x14ac:dyDescent="0.35">
      <c r="B647" s="74">
        <v>45383</v>
      </c>
      <c r="C647">
        <v>22462</v>
      </c>
      <c r="D647" s="64">
        <f t="shared" ref="D647:D710" si="20">C647/C646-1</f>
        <v>6.0509967796693598E-3</v>
      </c>
      <c r="F647" s="74">
        <v>45383</v>
      </c>
      <c r="G647" s="40">
        <v>1495.45</v>
      </c>
      <c r="H647">
        <f t="shared" ref="H647:H710" si="21">G647/G646-1</f>
        <v>-1.7355895998130144E-3</v>
      </c>
    </row>
    <row r="648" spans="2:8" x14ac:dyDescent="0.35">
      <c r="B648" s="74">
        <v>45384</v>
      </c>
      <c r="C648">
        <v>22453.3</v>
      </c>
      <c r="D648" s="64">
        <f t="shared" si="20"/>
        <v>-3.8732080847658779E-4</v>
      </c>
      <c r="F648" s="74">
        <v>45384</v>
      </c>
      <c r="G648" s="40">
        <v>1482.85</v>
      </c>
      <c r="H648">
        <f t="shared" si="21"/>
        <v>-8.4255575244910341E-3</v>
      </c>
    </row>
    <row r="649" spans="2:8" x14ac:dyDescent="0.35">
      <c r="B649" s="74">
        <v>45385</v>
      </c>
      <c r="C649">
        <v>22434.65</v>
      </c>
      <c r="D649" s="64">
        <f t="shared" si="20"/>
        <v>-8.306128720498851E-4</v>
      </c>
      <c r="F649" s="74">
        <v>45385</v>
      </c>
      <c r="G649" s="40">
        <v>1480.65</v>
      </c>
      <c r="H649">
        <f t="shared" si="21"/>
        <v>-1.4836294972517816E-3</v>
      </c>
    </row>
    <row r="650" spans="2:8" x14ac:dyDescent="0.35">
      <c r="B650" s="74">
        <v>45386</v>
      </c>
      <c r="C650">
        <v>22514.65</v>
      </c>
      <c r="D650" s="64">
        <f t="shared" si="20"/>
        <v>3.5659125504521327E-3</v>
      </c>
      <c r="F650" s="74">
        <v>45386</v>
      </c>
      <c r="G650" s="40">
        <v>1486.7</v>
      </c>
      <c r="H650">
        <f t="shared" si="21"/>
        <v>4.0860432917975142E-3</v>
      </c>
    </row>
    <row r="651" spans="2:8" x14ac:dyDescent="0.35">
      <c r="B651" s="74">
        <v>45387</v>
      </c>
      <c r="C651">
        <v>22513.7</v>
      </c>
      <c r="D651" s="64">
        <f t="shared" si="20"/>
        <v>-4.2194748752555356E-5</v>
      </c>
      <c r="F651" s="74">
        <v>45387</v>
      </c>
      <c r="G651" s="40">
        <v>1479.1</v>
      </c>
      <c r="H651">
        <f t="shared" si="21"/>
        <v>-5.1119930046412687E-3</v>
      </c>
    </row>
    <row r="652" spans="2:8" x14ac:dyDescent="0.35">
      <c r="B652" s="74">
        <v>45390</v>
      </c>
      <c r="C652">
        <v>22666.3</v>
      </c>
      <c r="D652" s="64">
        <f t="shared" si="20"/>
        <v>6.7780951154186031E-3</v>
      </c>
      <c r="F652" s="74">
        <v>45390</v>
      </c>
      <c r="G652" s="40">
        <v>1476.7</v>
      </c>
      <c r="H652">
        <f t="shared" si="21"/>
        <v>-1.6226083429111693E-3</v>
      </c>
    </row>
    <row r="653" spans="2:8" x14ac:dyDescent="0.35">
      <c r="B653" s="74">
        <v>45391</v>
      </c>
      <c r="C653">
        <v>22642.75</v>
      </c>
      <c r="D653" s="64">
        <f t="shared" si="20"/>
        <v>-1.0389873953843276E-3</v>
      </c>
      <c r="F653" s="74">
        <v>45391</v>
      </c>
      <c r="G653" s="40">
        <v>1494.85</v>
      </c>
      <c r="H653">
        <f t="shared" si="21"/>
        <v>1.2290918940881523E-2</v>
      </c>
    </row>
    <row r="654" spans="2:8" x14ac:dyDescent="0.35">
      <c r="B654" s="74">
        <v>45392</v>
      </c>
      <c r="C654">
        <v>22753.8</v>
      </c>
      <c r="D654" s="64">
        <f t="shared" si="20"/>
        <v>4.904439610913025E-3</v>
      </c>
      <c r="F654" s="74">
        <v>45392</v>
      </c>
      <c r="G654" s="40">
        <v>1506.8</v>
      </c>
      <c r="H654">
        <f t="shared" si="21"/>
        <v>7.9941131217178274E-3</v>
      </c>
    </row>
    <row r="655" spans="2:8" x14ac:dyDescent="0.35">
      <c r="B655" s="74">
        <v>45394</v>
      </c>
      <c r="C655">
        <v>22519.4</v>
      </c>
      <c r="D655" s="64">
        <f t="shared" si="20"/>
        <v>-1.0301576000492085E-2</v>
      </c>
      <c r="F655" s="74">
        <v>45394</v>
      </c>
      <c r="G655" s="40">
        <v>1484.75</v>
      </c>
      <c r="H655">
        <f t="shared" si="21"/>
        <v>-1.4633660737987775E-2</v>
      </c>
    </row>
    <row r="656" spans="2:8" x14ac:dyDescent="0.35">
      <c r="B656" s="74">
        <v>45397</v>
      </c>
      <c r="C656">
        <v>22272.5</v>
      </c>
      <c r="D656" s="64">
        <f t="shared" si="20"/>
        <v>-1.0963880032327733E-2</v>
      </c>
      <c r="F656" s="74">
        <v>45397</v>
      </c>
      <c r="G656" s="40">
        <v>1468.15</v>
      </c>
      <c r="H656">
        <f t="shared" si="21"/>
        <v>-1.1180333389459451E-2</v>
      </c>
    </row>
    <row r="657" spans="2:8" x14ac:dyDescent="0.35">
      <c r="B657" s="74">
        <v>45398</v>
      </c>
      <c r="C657">
        <v>22147.9</v>
      </c>
      <c r="D657" s="64">
        <f t="shared" si="20"/>
        <v>-5.5943427994162853E-3</v>
      </c>
      <c r="F657" s="74">
        <v>45398</v>
      </c>
      <c r="G657" s="40">
        <v>1414.45</v>
      </c>
      <c r="H657">
        <f t="shared" si="21"/>
        <v>-3.6576644075877796E-2</v>
      </c>
    </row>
    <row r="658" spans="2:8" x14ac:dyDescent="0.35">
      <c r="B658" s="74">
        <v>45400</v>
      </c>
      <c r="C658">
        <v>21995.85</v>
      </c>
      <c r="D658" s="64">
        <f t="shared" si="20"/>
        <v>-6.8652106971768267E-3</v>
      </c>
      <c r="F658" s="74">
        <v>45400</v>
      </c>
      <c r="G658" s="40">
        <v>1419.25</v>
      </c>
      <c r="H658">
        <f t="shared" si="21"/>
        <v>3.3935451942450623E-3</v>
      </c>
    </row>
    <row r="659" spans="2:8" x14ac:dyDescent="0.35">
      <c r="B659" s="74">
        <v>45401</v>
      </c>
      <c r="C659">
        <v>22147</v>
      </c>
      <c r="D659" s="64">
        <f t="shared" si="20"/>
        <v>6.8717508075386569E-3</v>
      </c>
      <c r="F659" s="74">
        <v>45401</v>
      </c>
      <c r="G659" s="40">
        <v>1411.25</v>
      </c>
      <c r="H659">
        <f t="shared" si="21"/>
        <v>-5.6367799894310178E-3</v>
      </c>
    </row>
    <row r="660" spans="2:8" x14ac:dyDescent="0.35">
      <c r="B660" s="74">
        <v>45404</v>
      </c>
      <c r="C660">
        <v>22336.400000000001</v>
      </c>
      <c r="D660" s="64">
        <f t="shared" si="20"/>
        <v>8.5519483451483858E-3</v>
      </c>
      <c r="F660" s="74">
        <v>45404</v>
      </c>
      <c r="G660" s="40">
        <v>1432.75</v>
      </c>
      <c r="H660">
        <f t="shared" si="21"/>
        <v>1.5234720992028272E-2</v>
      </c>
    </row>
    <row r="661" spans="2:8" x14ac:dyDescent="0.35">
      <c r="B661" s="74">
        <v>45405</v>
      </c>
      <c r="C661">
        <v>22368</v>
      </c>
      <c r="D661" s="64">
        <f t="shared" si="20"/>
        <v>1.4147311115488836E-3</v>
      </c>
      <c r="F661" s="74">
        <v>45405</v>
      </c>
      <c r="G661" s="40">
        <v>1442.4</v>
      </c>
      <c r="H661">
        <f t="shared" si="21"/>
        <v>6.7352992496947373E-3</v>
      </c>
    </row>
    <row r="662" spans="2:8" x14ac:dyDescent="0.35">
      <c r="B662" s="74">
        <v>45406</v>
      </c>
      <c r="C662">
        <v>22402.400000000001</v>
      </c>
      <c r="D662" s="64">
        <f t="shared" si="20"/>
        <v>1.5379113018598733E-3</v>
      </c>
      <c r="F662" s="74">
        <v>45406</v>
      </c>
      <c r="G662" s="40">
        <v>1430.75</v>
      </c>
      <c r="H662">
        <f t="shared" si="21"/>
        <v>-8.0768164170826884E-3</v>
      </c>
    </row>
    <row r="663" spans="2:8" x14ac:dyDescent="0.35">
      <c r="B663" s="74">
        <v>45407</v>
      </c>
      <c r="C663">
        <v>22570.35</v>
      </c>
      <c r="D663" s="64">
        <f t="shared" si="20"/>
        <v>7.496964610934409E-3</v>
      </c>
      <c r="F663" s="74">
        <v>45407</v>
      </c>
      <c r="G663" s="40">
        <v>1438.45</v>
      </c>
      <c r="H663">
        <f t="shared" si="21"/>
        <v>5.3817927660317899E-3</v>
      </c>
    </row>
    <row r="664" spans="2:8" x14ac:dyDescent="0.35">
      <c r="B664" s="74">
        <v>45408</v>
      </c>
      <c r="C664">
        <v>22419.95</v>
      </c>
      <c r="D664" s="64">
        <f t="shared" si="20"/>
        <v>-6.6636095585579369E-3</v>
      </c>
      <c r="F664" s="74">
        <v>45408</v>
      </c>
      <c r="G664" s="40">
        <v>1430.25</v>
      </c>
      <c r="H664">
        <f t="shared" si="21"/>
        <v>-5.700580485939799E-3</v>
      </c>
    </row>
    <row r="665" spans="2:8" x14ac:dyDescent="0.35">
      <c r="B665" s="74">
        <v>45411</v>
      </c>
      <c r="C665">
        <v>22643.4</v>
      </c>
      <c r="D665" s="64">
        <f t="shared" si="20"/>
        <v>9.9665699522077933E-3</v>
      </c>
      <c r="F665" s="74">
        <v>45411</v>
      </c>
      <c r="G665" s="40">
        <v>1434.75</v>
      </c>
      <c r="H665">
        <f t="shared" si="21"/>
        <v>3.1463030938647663E-3</v>
      </c>
    </row>
    <row r="666" spans="2:8" x14ac:dyDescent="0.35">
      <c r="B666" s="74">
        <v>45412</v>
      </c>
      <c r="C666">
        <v>22604.85</v>
      </c>
      <c r="D666" s="64">
        <f t="shared" si="20"/>
        <v>-1.7024828426828176E-3</v>
      </c>
      <c r="F666" s="74">
        <v>45412</v>
      </c>
      <c r="G666" s="40">
        <v>1420.55</v>
      </c>
      <c r="H666">
        <f t="shared" si="21"/>
        <v>-9.8971946332113703E-3</v>
      </c>
    </row>
    <row r="667" spans="2:8" x14ac:dyDescent="0.35">
      <c r="B667" s="74">
        <v>45414</v>
      </c>
      <c r="C667">
        <v>22648.2</v>
      </c>
      <c r="D667" s="64">
        <f t="shared" si="20"/>
        <v>1.917730044658672E-3</v>
      </c>
      <c r="F667" s="74">
        <v>45414</v>
      </c>
      <c r="G667" s="40">
        <v>1414.45</v>
      </c>
      <c r="H667">
        <f t="shared" si="21"/>
        <v>-4.2941114357114563E-3</v>
      </c>
    </row>
    <row r="668" spans="2:8" x14ac:dyDescent="0.35">
      <c r="B668" s="74">
        <v>45415</v>
      </c>
      <c r="C668">
        <v>22475.85</v>
      </c>
      <c r="D668" s="64">
        <f t="shared" si="20"/>
        <v>-7.6098762815588472E-3</v>
      </c>
      <c r="F668" s="74">
        <v>45415</v>
      </c>
      <c r="G668" s="40">
        <v>1416.3</v>
      </c>
      <c r="H668">
        <f t="shared" si="21"/>
        <v>1.3079288769486386E-3</v>
      </c>
    </row>
    <row r="669" spans="2:8" x14ac:dyDescent="0.35">
      <c r="B669" s="74">
        <v>45418</v>
      </c>
      <c r="C669">
        <v>22442.7</v>
      </c>
      <c r="D669" s="64">
        <f t="shared" si="20"/>
        <v>-1.4749164102803025E-3</v>
      </c>
      <c r="F669" s="74">
        <v>45418</v>
      </c>
      <c r="G669" s="40">
        <v>1425.9</v>
      </c>
      <c r="H669">
        <f t="shared" si="21"/>
        <v>6.7782249523407057E-3</v>
      </c>
    </row>
    <row r="670" spans="2:8" x14ac:dyDescent="0.35">
      <c r="B670" s="74">
        <v>45419</v>
      </c>
      <c r="C670">
        <v>22302.5</v>
      </c>
      <c r="D670" s="64">
        <f t="shared" si="20"/>
        <v>-6.2470201891929866E-3</v>
      </c>
      <c r="F670" s="74">
        <v>45419</v>
      </c>
      <c r="G670" s="40">
        <v>1440.95</v>
      </c>
      <c r="H670">
        <f t="shared" si="21"/>
        <v>1.0554737358861033E-2</v>
      </c>
    </row>
    <row r="671" spans="2:8" x14ac:dyDescent="0.35">
      <c r="B671" s="74">
        <v>45420</v>
      </c>
      <c r="C671">
        <v>22302.5</v>
      </c>
      <c r="D671" s="64">
        <f t="shared" si="20"/>
        <v>0</v>
      </c>
      <c r="F671" s="74">
        <v>45420</v>
      </c>
      <c r="G671" s="40">
        <v>1427.3</v>
      </c>
      <c r="H671">
        <f t="shared" si="21"/>
        <v>-9.4729171726986028E-3</v>
      </c>
    </row>
    <row r="672" spans="2:8" x14ac:dyDescent="0.35">
      <c r="B672" s="74">
        <v>45421</v>
      </c>
      <c r="C672">
        <v>21957.5</v>
      </c>
      <c r="D672" s="64">
        <f t="shared" si="20"/>
        <v>-1.546911781190452E-2</v>
      </c>
      <c r="F672" s="74">
        <v>45421</v>
      </c>
      <c r="G672" s="40">
        <v>1439.55</v>
      </c>
      <c r="H672">
        <f t="shared" si="21"/>
        <v>8.5826385483080969E-3</v>
      </c>
    </row>
    <row r="673" spans="2:8" x14ac:dyDescent="0.35">
      <c r="B673" s="74">
        <v>45422</v>
      </c>
      <c r="C673">
        <v>22055.200000000001</v>
      </c>
      <c r="D673" s="64">
        <f t="shared" si="20"/>
        <v>4.4495047250370234E-3</v>
      </c>
      <c r="F673" s="74">
        <v>45422</v>
      </c>
      <c r="G673" s="40">
        <v>1424.9</v>
      </c>
      <c r="H673">
        <f t="shared" si="21"/>
        <v>-1.0176791358410542E-2</v>
      </c>
    </row>
    <row r="674" spans="2:8" x14ac:dyDescent="0.35">
      <c r="B674" s="74">
        <v>45425</v>
      </c>
      <c r="C674">
        <v>22104.05</v>
      </c>
      <c r="D674" s="64">
        <f t="shared" si="20"/>
        <v>2.2148971671078765E-3</v>
      </c>
      <c r="F674" s="74">
        <v>45425</v>
      </c>
      <c r="G674" s="40">
        <v>1423.45</v>
      </c>
      <c r="H674">
        <f t="shared" si="21"/>
        <v>-1.0176152712471076E-3</v>
      </c>
    </row>
    <row r="675" spans="2:8" x14ac:dyDescent="0.35">
      <c r="B675" s="74">
        <v>45426</v>
      </c>
      <c r="C675">
        <v>22217.85</v>
      </c>
      <c r="D675" s="64">
        <f t="shared" si="20"/>
        <v>5.1483777859713253E-3</v>
      </c>
      <c r="F675" s="74">
        <v>45426</v>
      </c>
      <c r="G675" s="40">
        <v>1424.7</v>
      </c>
      <c r="H675">
        <f t="shared" si="21"/>
        <v>8.7814816115772132E-4</v>
      </c>
    </row>
    <row r="676" spans="2:8" x14ac:dyDescent="0.35">
      <c r="B676" s="74">
        <v>45427</v>
      </c>
      <c r="C676">
        <v>22200.55</v>
      </c>
      <c r="D676" s="64">
        <f t="shared" si="20"/>
        <v>-7.7865320001702099E-4</v>
      </c>
      <c r="F676" s="74">
        <v>45427</v>
      </c>
      <c r="G676" s="40">
        <v>1419.95</v>
      </c>
      <c r="H676">
        <f t="shared" si="21"/>
        <v>-3.334035235488142E-3</v>
      </c>
    </row>
    <row r="677" spans="2:8" x14ac:dyDescent="0.35">
      <c r="B677" s="74">
        <v>45428</v>
      </c>
      <c r="C677">
        <v>22403.85</v>
      </c>
      <c r="D677" s="64">
        <f t="shared" si="20"/>
        <v>9.1574307843724778E-3</v>
      </c>
      <c r="F677" s="74">
        <v>45428</v>
      </c>
      <c r="G677" s="40">
        <v>1453.35</v>
      </c>
      <c r="H677">
        <f t="shared" si="21"/>
        <v>2.3521954998415362E-2</v>
      </c>
    </row>
    <row r="678" spans="2:8" x14ac:dyDescent="0.35">
      <c r="B678" s="74">
        <v>45429</v>
      </c>
      <c r="C678">
        <v>22466.1</v>
      </c>
      <c r="D678" s="64">
        <f t="shared" si="20"/>
        <v>2.7785402955295968E-3</v>
      </c>
      <c r="F678" s="74">
        <v>45429</v>
      </c>
      <c r="G678" s="40">
        <v>1444.3</v>
      </c>
      <c r="H678">
        <f t="shared" si="21"/>
        <v>-6.2269928097155036E-3</v>
      </c>
    </row>
    <row r="679" spans="2:8" x14ac:dyDescent="0.35">
      <c r="B679" s="74">
        <v>45430</v>
      </c>
      <c r="C679">
        <v>22502</v>
      </c>
      <c r="D679" s="64">
        <f t="shared" si="20"/>
        <v>1.5979631533733496E-3</v>
      </c>
      <c r="F679" s="74">
        <v>45430</v>
      </c>
      <c r="G679" s="40">
        <v>1443.65</v>
      </c>
      <c r="H679">
        <f t="shared" si="21"/>
        <v>-4.5004500450041007E-4</v>
      </c>
    </row>
    <row r="680" spans="2:8" x14ac:dyDescent="0.35">
      <c r="B680" s="74">
        <v>45433</v>
      </c>
      <c r="C680">
        <v>22529.05</v>
      </c>
      <c r="D680" s="64">
        <f t="shared" si="20"/>
        <v>1.2021153675227936E-3</v>
      </c>
      <c r="F680" s="74">
        <v>45433</v>
      </c>
      <c r="G680" s="40">
        <v>1434.15</v>
      </c>
      <c r="H680">
        <f t="shared" si="21"/>
        <v>-6.5805423752294256E-3</v>
      </c>
    </row>
    <row r="681" spans="2:8" x14ac:dyDescent="0.35">
      <c r="B681" s="74">
        <v>45434</v>
      </c>
      <c r="C681">
        <v>22597.8</v>
      </c>
      <c r="D681" s="64">
        <f t="shared" si="20"/>
        <v>3.0516155807722711E-3</v>
      </c>
      <c r="F681" s="74">
        <v>45434</v>
      </c>
      <c r="G681" s="40">
        <v>1454.8</v>
      </c>
      <c r="H681">
        <f t="shared" si="21"/>
        <v>1.4398772792246106E-2</v>
      </c>
    </row>
    <row r="682" spans="2:8" x14ac:dyDescent="0.35">
      <c r="B682" s="74">
        <v>45435</v>
      </c>
      <c r="C682">
        <v>22967.65</v>
      </c>
      <c r="D682" s="64">
        <f t="shared" si="20"/>
        <v>1.6366637460283773E-2</v>
      </c>
      <c r="F682" s="74">
        <v>45435</v>
      </c>
      <c r="G682" s="40">
        <v>1472.4</v>
      </c>
      <c r="H682">
        <f t="shared" si="21"/>
        <v>1.2097882870497845E-2</v>
      </c>
    </row>
    <row r="683" spans="2:8" x14ac:dyDescent="0.35">
      <c r="B683" s="74">
        <v>45436</v>
      </c>
      <c r="C683">
        <v>22957.1</v>
      </c>
      <c r="D683" s="64">
        <f t="shared" si="20"/>
        <v>-4.5934172629780168E-4</v>
      </c>
      <c r="F683" s="74">
        <v>45436</v>
      </c>
      <c r="G683" s="40">
        <v>1465.1</v>
      </c>
      <c r="H683">
        <f t="shared" si="21"/>
        <v>-4.9578918772074099E-3</v>
      </c>
    </row>
    <row r="684" spans="2:8" x14ac:dyDescent="0.35">
      <c r="B684" s="74">
        <v>45439</v>
      </c>
      <c r="C684">
        <v>22932.45</v>
      </c>
      <c r="D684" s="64">
        <f t="shared" si="20"/>
        <v>-1.073741892486324E-3</v>
      </c>
      <c r="F684" s="74">
        <v>45439</v>
      </c>
      <c r="G684" s="40">
        <v>1471.35</v>
      </c>
      <c r="H684">
        <f t="shared" si="21"/>
        <v>4.2659204149886332E-3</v>
      </c>
    </row>
    <row r="685" spans="2:8" x14ac:dyDescent="0.35">
      <c r="B685" s="74">
        <v>45440</v>
      </c>
      <c r="C685">
        <v>22888.15</v>
      </c>
      <c r="D685" s="64">
        <f t="shared" si="20"/>
        <v>-1.9317604529824894E-3</v>
      </c>
      <c r="F685" s="74">
        <v>45440</v>
      </c>
      <c r="G685" s="40">
        <v>1467.05</v>
      </c>
      <c r="H685">
        <f t="shared" si="21"/>
        <v>-2.9224861521731649E-3</v>
      </c>
    </row>
    <row r="686" spans="2:8" x14ac:dyDescent="0.35">
      <c r="B686" s="74">
        <v>45441</v>
      </c>
      <c r="C686">
        <v>22704.7</v>
      </c>
      <c r="D686" s="64">
        <f t="shared" si="20"/>
        <v>-8.015064563977492E-3</v>
      </c>
      <c r="F686" s="74">
        <v>45441</v>
      </c>
      <c r="G686" s="40">
        <v>1450.95</v>
      </c>
      <c r="H686">
        <f t="shared" si="21"/>
        <v>-1.097440441702735E-2</v>
      </c>
    </row>
    <row r="687" spans="2:8" x14ac:dyDescent="0.35">
      <c r="B687" s="74">
        <v>45442</v>
      </c>
      <c r="C687">
        <v>22488.65</v>
      </c>
      <c r="D687" s="64">
        <f t="shared" si="20"/>
        <v>-9.515650944518117E-3</v>
      </c>
      <c r="F687" s="74">
        <v>45442</v>
      </c>
      <c r="G687" s="40">
        <v>1427.45</v>
      </c>
      <c r="H687">
        <f t="shared" si="21"/>
        <v>-1.619628519246008E-2</v>
      </c>
    </row>
    <row r="688" spans="2:8" x14ac:dyDescent="0.35">
      <c r="B688" s="74">
        <v>45443</v>
      </c>
      <c r="C688">
        <v>22530.7</v>
      </c>
      <c r="D688" s="64">
        <f t="shared" si="20"/>
        <v>1.8698321153114428E-3</v>
      </c>
      <c r="F688" s="74">
        <v>45443</v>
      </c>
      <c r="G688" s="40">
        <v>1406.9</v>
      </c>
      <c r="H688">
        <f t="shared" si="21"/>
        <v>-1.4396301096360586E-2</v>
      </c>
    </row>
    <row r="689" spans="2:8" x14ac:dyDescent="0.35">
      <c r="B689" s="74">
        <v>45446</v>
      </c>
      <c r="C689">
        <v>23263.9</v>
      </c>
      <c r="D689" s="64">
        <f t="shared" si="20"/>
        <v>3.2542264554585643E-2</v>
      </c>
      <c r="F689" s="74">
        <v>45446</v>
      </c>
      <c r="G689" s="40">
        <v>1405.9</v>
      </c>
      <c r="H689">
        <f t="shared" si="21"/>
        <v>-7.1078257161139025E-4</v>
      </c>
    </row>
    <row r="690" spans="2:8" x14ac:dyDescent="0.35">
      <c r="B690" s="74">
        <v>45447</v>
      </c>
      <c r="C690">
        <v>21884.5</v>
      </c>
      <c r="D690" s="64">
        <f t="shared" si="20"/>
        <v>-5.9293583620975032E-2</v>
      </c>
      <c r="F690" s="74">
        <v>45447</v>
      </c>
      <c r="G690" s="40">
        <v>1393.65</v>
      </c>
      <c r="H690">
        <f t="shared" si="21"/>
        <v>-8.7132797496265457E-3</v>
      </c>
    </row>
    <row r="691" spans="2:8" x14ac:dyDescent="0.35">
      <c r="B691" s="74">
        <v>45448</v>
      </c>
      <c r="C691">
        <v>22620.35</v>
      </c>
      <c r="D691" s="64">
        <f t="shared" si="20"/>
        <v>3.3624254609426751E-2</v>
      </c>
      <c r="F691" s="74">
        <v>45448</v>
      </c>
      <c r="G691" s="40">
        <v>1430.1</v>
      </c>
      <c r="H691">
        <f t="shared" si="21"/>
        <v>2.6154342912495743E-2</v>
      </c>
    </row>
    <row r="692" spans="2:8" x14ac:dyDescent="0.35">
      <c r="B692" s="74">
        <v>45449</v>
      </c>
      <c r="C692">
        <v>22821.4</v>
      </c>
      <c r="D692" s="64">
        <f t="shared" si="20"/>
        <v>8.888014553267487E-3</v>
      </c>
      <c r="F692" s="74">
        <v>45449</v>
      </c>
      <c r="G692" s="40">
        <v>1472.25</v>
      </c>
      <c r="H692">
        <f t="shared" si="21"/>
        <v>2.9473463394168231E-2</v>
      </c>
    </row>
    <row r="693" spans="2:8" x14ac:dyDescent="0.35">
      <c r="B693" s="74">
        <v>45450</v>
      </c>
      <c r="C693">
        <v>23290.15</v>
      </c>
      <c r="D693" s="64">
        <f t="shared" si="20"/>
        <v>2.0539931818380985E-2</v>
      </c>
      <c r="F693" s="74">
        <v>45450</v>
      </c>
      <c r="G693" s="40">
        <v>1533.6</v>
      </c>
      <c r="H693">
        <f t="shared" si="21"/>
        <v>4.1670911869587268E-2</v>
      </c>
    </row>
    <row r="694" spans="2:8" x14ac:dyDescent="0.35">
      <c r="B694" s="74">
        <v>45453</v>
      </c>
      <c r="C694">
        <v>23259.200000000001</v>
      </c>
      <c r="D694" s="64">
        <f t="shared" si="20"/>
        <v>-1.3288879633664985E-3</v>
      </c>
      <c r="F694" s="74">
        <v>45453</v>
      </c>
      <c r="G694" s="40">
        <v>1499.75</v>
      </c>
      <c r="H694">
        <f t="shared" si="21"/>
        <v>-2.2072248304642605E-2</v>
      </c>
    </row>
    <row r="695" spans="2:8" x14ac:dyDescent="0.35">
      <c r="B695" s="74">
        <v>45454</v>
      </c>
      <c r="C695">
        <v>23264.85</v>
      </c>
      <c r="D695" s="64">
        <f t="shared" si="20"/>
        <v>2.4291463162962046E-4</v>
      </c>
      <c r="F695" s="74">
        <v>45454</v>
      </c>
      <c r="G695" s="40">
        <v>1495.75</v>
      </c>
      <c r="H695">
        <f t="shared" si="21"/>
        <v>-2.6671111851975793E-3</v>
      </c>
    </row>
    <row r="696" spans="2:8" x14ac:dyDescent="0.35">
      <c r="B696" s="74">
        <v>45455</v>
      </c>
      <c r="C696">
        <v>23322.95</v>
      </c>
      <c r="D696" s="64">
        <f t="shared" si="20"/>
        <v>2.4973296625596664E-3</v>
      </c>
      <c r="F696" s="74">
        <v>45455</v>
      </c>
      <c r="G696" s="40">
        <v>1485.2</v>
      </c>
      <c r="H696">
        <f t="shared" si="21"/>
        <v>-7.0533177335784236E-3</v>
      </c>
    </row>
    <row r="697" spans="2:8" x14ac:dyDescent="0.35">
      <c r="B697" s="74">
        <v>45456</v>
      </c>
      <c r="C697">
        <v>23398.9</v>
      </c>
      <c r="D697" s="64">
        <f t="shared" si="20"/>
        <v>3.2564491198583401E-3</v>
      </c>
      <c r="F697" s="74">
        <v>45456</v>
      </c>
      <c r="G697" s="40">
        <v>1493.95</v>
      </c>
      <c r="H697">
        <f t="shared" si="21"/>
        <v>5.8914624293024964E-3</v>
      </c>
    </row>
    <row r="698" spans="2:8" x14ac:dyDescent="0.35">
      <c r="B698" s="74">
        <v>45457</v>
      </c>
      <c r="C698">
        <v>23465.599999999999</v>
      </c>
      <c r="D698" s="64">
        <f t="shared" si="20"/>
        <v>2.8505613511744521E-3</v>
      </c>
      <c r="F698" s="74">
        <v>45457</v>
      </c>
      <c r="G698" s="40">
        <v>1488.9</v>
      </c>
      <c r="H698">
        <f t="shared" si="21"/>
        <v>-3.380300545533621E-3</v>
      </c>
    </row>
    <row r="699" spans="2:8" x14ac:dyDescent="0.35">
      <c r="B699" s="74">
        <v>45461</v>
      </c>
      <c r="C699">
        <v>23557.9</v>
      </c>
      <c r="D699" s="64">
        <f t="shared" si="20"/>
        <v>3.933417428064967E-3</v>
      </c>
      <c r="F699" s="74">
        <v>45461</v>
      </c>
      <c r="G699" s="40">
        <v>1498.2</v>
      </c>
      <c r="H699">
        <f t="shared" si="21"/>
        <v>6.2462220431189763E-3</v>
      </c>
    </row>
    <row r="700" spans="2:8" x14ac:dyDescent="0.35">
      <c r="B700" s="74">
        <v>45462</v>
      </c>
      <c r="C700">
        <v>23516</v>
      </c>
      <c r="D700" s="64">
        <f t="shared" si="20"/>
        <v>-1.7785965642099777E-3</v>
      </c>
      <c r="F700" s="74">
        <v>45462</v>
      </c>
      <c r="G700" s="40">
        <v>1511.35</v>
      </c>
      <c r="H700">
        <f t="shared" si="21"/>
        <v>8.7771993058336495E-3</v>
      </c>
    </row>
    <row r="701" spans="2:8" x14ac:dyDescent="0.35">
      <c r="B701" s="74">
        <v>45463</v>
      </c>
      <c r="C701">
        <v>23567</v>
      </c>
      <c r="D701" s="64">
        <f t="shared" si="20"/>
        <v>2.1687361796223215E-3</v>
      </c>
      <c r="F701" s="74">
        <v>45463</v>
      </c>
      <c r="G701" s="40">
        <v>1515.4</v>
      </c>
      <c r="H701">
        <f t="shared" si="21"/>
        <v>2.6797234260762526E-3</v>
      </c>
    </row>
    <row r="702" spans="2:8" x14ac:dyDescent="0.35">
      <c r="B702" s="74">
        <v>45464</v>
      </c>
      <c r="C702">
        <v>23501.1</v>
      </c>
      <c r="D702" s="64">
        <f t="shared" si="20"/>
        <v>-2.7962829380066001E-3</v>
      </c>
      <c r="F702" s="74">
        <v>45464</v>
      </c>
      <c r="G702" s="40">
        <v>1532.7</v>
      </c>
      <c r="H702">
        <f t="shared" si="21"/>
        <v>1.1416127755048189E-2</v>
      </c>
    </row>
    <row r="703" spans="2:8" x14ac:dyDescent="0.35">
      <c r="B703" s="74">
        <v>45467</v>
      </c>
      <c r="C703">
        <v>23537.85</v>
      </c>
      <c r="D703" s="64">
        <f t="shared" si="20"/>
        <v>1.5637565901169825E-3</v>
      </c>
      <c r="F703" s="74">
        <v>45467</v>
      </c>
      <c r="G703" s="40">
        <v>1527.15</v>
      </c>
      <c r="H703">
        <f t="shared" si="21"/>
        <v>-3.6210608729692062E-3</v>
      </c>
    </row>
    <row r="704" spans="2:8" x14ac:dyDescent="0.35">
      <c r="B704" s="74">
        <v>45468</v>
      </c>
      <c r="C704">
        <v>23721.3</v>
      </c>
      <c r="D704" s="64">
        <f t="shared" si="20"/>
        <v>7.7938299377386944E-3</v>
      </c>
      <c r="F704" s="74">
        <v>45468</v>
      </c>
      <c r="G704" s="40">
        <v>1541.95</v>
      </c>
      <c r="H704">
        <f t="shared" si="21"/>
        <v>9.6912549520347113E-3</v>
      </c>
    </row>
    <row r="705" spans="2:8" x14ac:dyDescent="0.35">
      <c r="B705" s="74">
        <v>45469</v>
      </c>
      <c r="C705">
        <v>23868.799999999999</v>
      </c>
      <c r="D705" s="64">
        <f t="shared" si="20"/>
        <v>6.2180403266263173E-3</v>
      </c>
      <c r="F705" s="74">
        <v>45469</v>
      </c>
      <c r="G705" s="40">
        <v>1540.7</v>
      </c>
      <c r="H705">
        <f t="shared" si="21"/>
        <v>-8.1066182431333011E-4</v>
      </c>
    </row>
    <row r="706" spans="2:8" x14ac:dyDescent="0.35">
      <c r="B706" s="74">
        <v>45470</v>
      </c>
      <c r="C706">
        <v>24044.5</v>
      </c>
      <c r="D706" s="64">
        <f t="shared" si="20"/>
        <v>7.3610738704921186E-3</v>
      </c>
      <c r="F706" s="74">
        <v>45470</v>
      </c>
      <c r="G706" s="40">
        <v>1573.35</v>
      </c>
      <c r="H706">
        <f t="shared" si="21"/>
        <v>2.1191666125786934E-2</v>
      </c>
    </row>
    <row r="707" spans="2:8" x14ac:dyDescent="0.35">
      <c r="B707" s="74">
        <v>45471</v>
      </c>
      <c r="C707">
        <v>24010.6</v>
      </c>
      <c r="D707" s="64">
        <f t="shared" si="20"/>
        <v>-1.4098858366778932E-3</v>
      </c>
      <c r="F707" s="74">
        <v>45471</v>
      </c>
      <c r="G707" s="40">
        <v>1566.75</v>
      </c>
      <c r="H707">
        <f t="shared" si="21"/>
        <v>-4.1948708170463922E-3</v>
      </c>
    </row>
    <row r="708" spans="2:8" x14ac:dyDescent="0.35">
      <c r="B708" s="74">
        <v>45474</v>
      </c>
      <c r="C708">
        <v>24141.95</v>
      </c>
      <c r="D708" s="64">
        <f t="shared" si="20"/>
        <v>5.4705005289330533E-3</v>
      </c>
      <c r="F708" s="74">
        <v>45474</v>
      </c>
      <c r="G708" s="40">
        <v>1590.8</v>
      </c>
      <c r="H708">
        <f t="shared" si="21"/>
        <v>1.535024732726975E-2</v>
      </c>
    </row>
    <row r="709" spans="2:8" x14ac:dyDescent="0.35">
      <c r="B709" s="74">
        <v>45475</v>
      </c>
      <c r="C709">
        <v>24123.85</v>
      </c>
      <c r="D709" s="64">
        <f t="shared" si="20"/>
        <v>-7.4973231242725369E-4</v>
      </c>
      <c r="F709" s="74">
        <v>45475</v>
      </c>
      <c r="G709" s="40">
        <v>1621.05</v>
      </c>
      <c r="H709">
        <f t="shared" si="21"/>
        <v>1.9015589640432484E-2</v>
      </c>
    </row>
    <row r="710" spans="2:8" x14ac:dyDescent="0.35">
      <c r="B710" s="74">
        <v>45476</v>
      </c>
      <c r="C710">
        <v>24286.5</v>
      </c>
      <c r="D710" s="64">
        <f t="shared" si="20"/>
        <v>6.7422903060665451E-3</v>
      </c>
      <c r="F710" s="74">
        <v>45476</v>
      </c>
      <c r="G710" s="40">
        <v>1627.4</v>
      </c>
      <c r="H710">
        <f t="shared" si="21"/>
        <v>3.9172141513217351E-3</v>
      </c>
    </row>
    <row r="711" spans="2:8" x14ac:dyDescent="0.35">
      <c r="B711" s="74">
        <v>45477</v>
      </c>
      <c r="C711">
        <v>24302.15</v>
      </c>
      <c r="D711" s="64">
        <f t="shared" ref="D711:D774" si="22">C711/C710-1</f>
        <v>6.4439091676460336E-4</v>
      </c>
      <c r="F711" s="74">
        <v>45477</v>
      </c>
      <c r="G711" s="40">
        <v>1650.65</v>
      </c>
      <c r="H711">
        <f t="shared" ref="H711:H774" si="23">G711/G710-1</f>
        <v>1.4286592110114293E-2</v>
      </c>
    </row>
    <row r="712" spans="2:8" x14ac:dyDescent="0.35">
      <c r="B712" s="74">
        <v>45478</v>
      </c>
      <c r="C712">
        <v>24323.85</v>
      </c>
      <c r="D712" s="64">
        <f t="shared" si="22"/>
        <v>8.9292511156413568E-4</v>
      </c>
      <c r="F712" s="74">
        <v>45478</v>
      </c>
      <c r="G712" s="40">
        <v>1647.45</v>
      </c>
      <c r="H712">
        <f t="shared" si="23"/>
        <v>-1.9386302365734798E-3</v>
      </c>
    </row>
    <row r="713" spans="2:8" x14ac:dyDescent="0.35">
      <c r="B713" s="74">
        <v>45481</v>
      </c>
      <c r="C713">
        <v>24320.55</v>
      </c>
      <c r="D713" s="64">
        <f t="shared" si="22"/>
        <v>-1.3566931221820067E-4</v>
      </c>
      <c r="F713" s="74">
        <v>45481</v>
      </c>
      <c r="G713" s="40">
        <v>1661.65</v>
      </c>
      <c r="H713">
        <f t="shared" si="23"/>
        <v>8.6193814683299674E-3</v>
      </c>
    </row>
    <row r="714" spans="2:8" x14ac:dyDescent="0.35">
      <c r="B714" s="74">
        <v>45482</v>
      </c>
      <c r="C714">
        <v>24433.200000000001</v>
      </c>
      <c r="D714" s="64">
        <f t="shared" si="22"/>
        <v>4.6318853808815508E-3</v>
      </c>
      <c r="F714" s="74">
        <v>45482</v>
      </c>
      <c r="G714" s="40">
        <v>1657.15</v>
      </c>
      <c r="H714">
        <f t="shared" si="23"/>
        <v>-2.708151536123693E-3</v>
      </c>
    </row>
    <row r="715" spans="2:8" x14ac:dyDescent="0.35">
      <c r="B715" s="74">
        <v>45483</v>
      </c>
      <c r="C715">
        <v>24324.45</v>
      </c>
      <c r="D715" s="64">
        <f t="shared" si="22"/>
        <v>-4.4509110554491471E-3</v>
      </c>
      <c r="F715" s="74">
        <v>45483</v>
      </c>
      <c r="G715" s="40">
        <v>1648.25</v>
      </c>
      <c r="H715">
        <f t="shared" si="23"/>
        <v>-5.3706665057479119E-3</v>
      </c>
    </row>
    <row r="716" spans="2:8" x14ac:dyDescent="0.35">
      <c r="B716" s="74">
        <v>45484</v>
      </c>
      <c r="C716">
        <v>24315.95</v>
      </c>
      <c r="D716" s="64">
        <f t="shared" si="22"/>
        <v>-3.4944263899083783E-4</v>
      </c>
      <c r="F716" s="74">
        <v>45484</v>
      </c>
      <c r="G716" s="40">
        <v>1652.7</v>
      </c>
      <c r="H716">
        <f t="shared" si="23"/>
        <v>2.6998331563778954E-3</v>
      </c>
    </row>
    <row r="717" spans="2:8" x14ac:dyDescent="0.35">
      <c r="B717" s="74">
        <v>45485</v>
      </c>
      <c r="C717">
        <v>24502.15</v>
      </c>
      <c r="D717" s="64">
        <f t="shared" si="22"/>
        <v>7.6575252046495734E-3</v>
      </c>
      <c r="F717" s="74">
        <v>45485</v>
      </c>
      <c r="G717" s="40">
        <v>1711.75</v>
      </c>
      <c r="H717">
        <f t="shared" si="23"/>
        <v>3.5729412476553479E-2</v>
      </c>
    </row>
    <row r="718" spans="2:8" x14ac:dyDescent="0.35">
      <c r="B718" s="74">
        <v>45488</v>
      </c>
      <c r="C718">
        <v>24586.7</v>
      </c>
      <c r="D718" s="64">
        <f t="shared" si="22"/>
        <v>3.4507175900890807E-3</v>
      </c>
      <c r="F718" s="74">
        <v>45488</v>
      </c>
      <c r="G718" s="40">
        <v>1707.05</v>
      </c>
      <c r="H718">
        <f t="shared" si="23"/>
        <v>-2.7457280560829744E-3</v>
      </c>
    </row>
    <row r="719" spans="2:8" x14ac:dyDescent="0.35">
      <c r="B719" s="74">
        <v>45489</v>
      </c>
      <c r="C719">
        <v>24613</v>
      </c>
      <c r="D719" s="64">
        <f t="shared" si="22"/>
        <v>1.0696840161550369E-3</v>
      </c>
      <c r="F719" s="74">
        <v>45489</v>
      </c>
      <c r="G719" s="40">
        <v>1726.05</v>
      </c>
      <c r="H719">
        <f t="shared" si="23"/>
        <v>1.1130312527459552E-2</v>
      </c>
    </row>
    <row r="720" spans="2:8" x14ac:dyDescent="0.35">
      <c r="B720" s="74">
        <v>45491</v>
      </c>
      <c r="C720">
        <v>24800.85</v>
      </c>
      <c r="D720" s="64">
        <f t="shared" si="22"/>
        <v>7.6321456141064115E-3</v>
      </c>
      <c r="F720" s="74">
        <v>45491</v>
      </c>
      <c r="G720" s="40">
        <v>1758.05</v>
      </c>
      <c r="H720">
        <f t="shared" si="23"/>
        <v>1.8539439761304788E-2</v>
      </c>
    </row>
    <row r="721" spans="2:8" x14ac:dyDescent="0.35">
      <c r="B721" s="74">
        <v>45492</v>
      </c>
      <c r="C721">
        <v>24530.9</v>
      </c>
      <c r="D721" s="64">
        <f t="shared" si="22"/>
        <v>-1.0884707580586794E-2</v>
      </c>
      <c r="F721" s="74">
        <v>45492</v>
      </c>
      <c r="G721" s="40">
        <v>1792.95</v>
      </c>
      <c r="H721">
        <f t="shared" si="23"/>
        <v>1.9851540058587691E-2</v>
      </c>
    </row>
    <row r="722" spans="2:8" x14ac:dyDescent="0.35">
      <c r="B722" s="74">
        <v>45495</v>
      </c>
      <c r="C722">
        <v>24509.25</v>
      </c>
      <c r="D722" s="64">
        <f t="shared" si="22"/>
        <v>-8.8256036264466875E-4</v>
      </c>
      <c r="F722" s="74">
        <v>45495</v>
      </c>
      <c r="G722" s="40">
        <v>1810.85</v>
      </c>
      <c r="H722">
        <f t="shared" si="23"/>
        <v>9.9835466688975583E-3</v>
      </c>
    </row>
    <row r="723" spans="2:8" x14ac:dyDescent="0.35">
      <c r="B723" s="74">
        <v>45496</v>
      </c>
      <c r="C723">
        <v>24479.05</v>
      </c>
      <c r="D723" s="64">
        <f t="shared" si="22"/>
        <v>-1.2321878474453873E-3</v>
      </c>
      <c r="F723" s="74">
        <v>45496</v>
      </c>
      <c r="G723" s="40">
        <v>1836.9</v>
      </c>
      <c r="H723">
        <f t="shared" si="23"/>
        <v>1.4385509567330423E-2</v>
      </c>
    </row>
    <row r="724" spans="2:8" x14ac:dyDescent="0.35">
      <c r="B724" s="74">
        <v>45497</v>
      </c>
      <c r="C724">
        <v>24413.5</v>
      </c>
      <c r="D724" s="64">
        <f t="shared" si="22"/>
        <v>-2.6777999963233379E-3</v>
      </c>
      <c r="F724" s="74">
        <v>45497</v>
      </c>
      <c r="G724" s="40">
        <v>1833.95</v>
      </c>
      <c r="H724">
        <f t="shared" si="23"/>
        <v>-1.6059665741194884E-3</v>
      </c>
    </row>
    <row r="725" spans="2:8" x14ac:dyDescent="0.35">
      <c r="B725" s="74">
        <v>45498</v>
      </c>
      <c r="C725">
        <v>24406.1</v>
      </c>
      <c r="D725" s="64">
        <f t="shared" si="22"/>
        <v>-3.0311098367707956E-4</v>
      </c>
      <c r="F725" s="74">
        <v>45498</v>
      </c>
      <c r="G725" s="40">
        <v>1824.85</v>
      </c>
      <c r="H725">
        <f t="shared" si="23"/>
        <v>-4.9619673382590435E-3</v>
      </c>
    </row>
    <row r="726" spans="2:8" x14ac:dyDescent="0.35">
      <c r="B726" s="74">
        <v>45499</v>
      </c>
      <c r="C726">
        <v>24834.85</v>
      </c>
      <c r="D726" s="64">
        <f t="shared" si="22"/>
        <v>1.7567329479105664E-2</v>
      </c>
      <c r="F726" s="74">
        <v>45499</v>
      </c>
      <c r="G726" s="40">
        <v>1878.9</v>
      </c>
      <c r="H726">
        <f t="shared" si="23"/>
        <v>2.9618872784064498E-2</v>
      </c>
    </row>
    <row r="727" spans="2:8" x14ac:dyDescent="0.35">
      <c r="B727" s="74">
        <v>45502</v>
      </c>
      <c r="C727">
        <v>24836.1</v>
      </c>
      <c r="D727" s="64">
        <f t="shared" si="22"/>
        <v>5.0332496471794386E-5</v>
      </c>
      <c r="F727" s="74">
        <v>45502</v>
      </c>
      <c r="G727" s="40">
        <v>1871.1</v>
      </c>
      <c r="H727">
        <f t="shared" si="23"/>
        <v>-4.1513651604663249E-3</v>
      </c>
    </row>
    <row r="728" spans="2:8" x14ac:dyDescent="0.35">
      <c r="B728" s="74">
        <v>45503</v>
      </c>
      <c r="C728">
        <v>24857.3</v>
      </c>
      <c r="D728" s="64">
        <f t="shared" si="22"/>
        <v>8.5359617653346653E-4</v>
      </c>
      <c r="F728" s="74">
        <v>45503</v>
      </c>
      <c r="G728" s="40">
        <v>1877.15</v>
      </c>
      <c r="H728">
        <f t="shared" si="23"/>
        <v>3.2333921222811313E-3</v>
      </c>
    </row>
    <row r="729" spans="2:8" x14ac:dyDescent="0.35">
      <c r="B729" s="74">
        <v>45504</v>
      </c>
      <c r="C729">
        <v>24951.15</v>
      </c>
      <c r="D729" s="64">
        <f t="shared" si="22"/>
        <v>3.7755508442189889E-3</v>
      </c>
      <c r="F729" s="74">
        <v>45504</v>
      </c>
      <c r="G729" s="40">
        <v>1868.25</v>
      </c>
      <c r="H729">
        <f t="shared" si="23"/>
        <v>-4.7412300562023058E-3</v>
      </c>
    </row>
    <row r="730" spans="2:8" x14ac:dyDescent="0.35">
      <c r="B730" s="74">
        <v>45505</v>
      </c>
      <c r="C730">
        <v>25010.9</v>
      </c>
      <c r="D730" s="64">
        <f t="shared" si="22"/>
        <v>2.3946792031630526E-3</v>
      </c>
      <c r="F730" s="74">
        <v>45505</v>
      </c>
      <c r="G730" s="40">
        <v>1852.6</v>
      </c>
      <c r="H730">
        <f t="shared" si="23"/>
        <v>-8.3768232302957601E-3</v>
      </c>
    </row>
    <row r="731" spans="2:8" x14ac:dyDescent="0.35">
      <c r="B731" s="74">
        <v>45506</v>
      </c>
      <c r="C731">
        <v>24717.7</v>
      </c>
      <c r="D731" s="64">
        <f t="shared" si="22"/>
        <v>-1.1722888820474342E-2</v>
      </c>
      <c r="F731" s="74">
        <v>45506</v>
      </c>
      <c r="G731" s="40">
        <v>1821.2</v>
      </c>
      <c r="H731">
        <f t="shared" si="23"/>
        <v>-1.6949152542372836E-2</v>
      </c>
    </row>
    <row r="732" spans="2:8" x14ac:dyDescent="0.35">
      <c r="B732" s="74">
        <v>45509</v>
      </c>
      <c r="C732">
        <v>24055.599999999999</v>
      </c>
      <c r="D732" s="64">
        <f t="shared" si="22"/>
        <v>-2.6786472851438536E-2</v>
      </c>
      <c r="F732" s="74">
        <v>45509</v>
      </c>
      <c r="G732" s="40">
        <v>1751.9</v>
      </c>
      <c r="H732">
        <f t="shared" si="23"/>
        <v>-3.8051833955633607E-2</v>
      </c>
    </row>
    <row r="733" spans="2:8" x14ac:dyDescent="0.35">
      <c r="B733" s="74">
        <v>45510</v>
      </c>
      <c r="C733">
        <v>23992.55</v>
      </c>
      <c r="D733" s="64">
        <f t="shared" si="22"/>
        <v>-2.6210113237665755E-3</v>
      </c>
      <c r="F733" s="74">
        <v>45510</v>
      </c>
      <c r="G733" s="40">
        <v>1751.1</v>
      </c>
      <c r="H733">
        <f t="shared" si="23"/>
        <v>-4.5664706889669837E-4</v>
      </c>
    </row>
    <row r="734" spans="2:8" x14ac:dyDescent="0.35">
      <c r="B734" s="74">
        <v>45511</v>
      </c>
      <c r="C734">
        <v>24297.5</v>
      </c>
      <c r="D734" s="64">
        <f t="shared" si="22"/>
        <v>1.2710195456506312E-2</v>
      </c>
      <c r="F734" s="74">
        <v>45511</v>
      </c>
      <c r="G734" s="40">
        <v>1791.65</v>
      </c>
      <c r="H734">
        <f t="shared" si="23"/>
        <v>2.3156872822797103E-2</v>
      </c>
    </row>
    <row r="735" spans="2:8" x14ac:dyDescent="0.35">
      <c r="B735" s="74">
        <v>45512</v>
      </c>
      <c r="C735">
        <v>24117</v>
      </c>
      <c r="D735" s="64">
        <f t="shared" si="22"/>
        <v>-7.4287478135610652E-3</v>
      </c>
      <c r="F735" s="74">
        <v>45512</v>
      </c>
      <c r="G735" s="40">
        <v>1743.15</v>
      </c>
      <c r="H735">
        <f t="shared" si="23"/>
        <v>-2.7070019255993061E-2</v>
      </c>
    </row>
    <row r="736" spans="2:8" x14ac:dyDescent="0.35">
      <c r="B736" s="74">
        <v>45513</v>
      </c>
      <c r="C736">
        <v>24367.5</v>
      </c>
      <c r="D736" s="64">
        <f t="shared" si="22"/>
        <v>1.0386864037815746E-2</v>
      </c>
      <c r="F736" s="74">
        <v>45513</v>
      </c>
      <c r="G736" s="40">
        <v>1770.75</v>
      </c>
      <c r="H736">
        <f t="shared" si="23"/>
        <v>1.5833405042595228E-2</v>
      </c>
    </row>
    <row r="737" spans="2:8" x14ac:dyDescent="0.35">
      <c r="B737" s="74">
        <v>45516</v>
      </c>
      <c r="C737">
        <v>24347</v>
      </c>
      <c r="D737" s="64">
        <f t="shared" si="22"/>
        <v>-8.4128449779419245E-4</v>
      </c>
      <c r="F737" s="74">
        <v>45516</v>
      </c>
      <c r="G737" s="40">
        <v>1797.4</v>
      </c>
      <c r="H737">
        <f t="shared" si="23"/>
        <v>1.5050120005647427E-2</v>
      </c>
    </row>
    <row r="738" spans="2:8" x14ac:dyDescent="0.35">
      <c r="B738" s="74">
        <v>45517</v>
      </c>
      <c r="C738">
        <v>24139</v>
      </c>
      <c r="D738" s="64">
        <f t="shared" si="22"/>
        <v>-8.5431469996303244E-3</v>
      </c>
      <c r="F738" s="74">
        <v>45517</v>
      </c>
      <c r="G738" s="40">
        <v>1797.45</v>
      </c>
      <c r="H738">
        <f t="shared" si="23"/>
        <v>2.7817959274534232E-5</v>
      </c>
    </row>
    <row r="739" spans="2:8" x14ac:dyDescent="0.35">
      <c r="B739" s="74">
        <v>45518</v>
      </c>
      <c r="C739">
        <v>24143.75</v>
      </c>
      <c r="D739" s="64">
        <f t="shared" si="22"/>
        <v>1.9677699987563635E-4</v>
      </c>
      <c r="F739" s="74">
        <v>45518</v>
      </c>
      <c r="G739" s="40">
        <v>1823.25</v>
      </c>
      <c r="H739">
        <f t="shared" si="23"/>
        <v>1.4353667695902406E-2</v>
      </c>
    </row>
    <row r="740" spans="2:8" x14ac:dyDescent="0.35">
      <c r="B740" s="74">
        <v>45520</v>
      </c>
      <c r="C740">
        <v>24541.15</v>
      </c>
      <c r="D740" s="64">
        <f t="shared" si="22"/>
        <v>1.6459746311157097E-2</v>
      </c>
      <c r="F740" s="74">
        <v>45520</v>
      </c>
      <c r="G740" s="40">
        <v>1858.95</v>
      </c>
      <c r="H740">
        <f t="shared" si="23"/>
        <v>1.9580419580419672E-2</v>
      </c>
    </row>
    <row r="741" spans="2:8" x14ac:dyDescent="0.35">
      <c r="B741" s="74">
        <v>45523</v>
      </c>
      <c r="C741">
        <v>24572.65</v>
      </c>
      <c r="D741" s="64">
        <f t="shared" si="22"/>
        <v>1.283558431450782E-3</v>
      </c>
      <c r="F741" s="74">
        <v>45523</v>
      </c>
      <c r="G741" s="40">
        <v>1864.8</v>
      </c>
      <c r="H741">
        <f t="shared" si="23"/>
        <v>3.1469377874606685E-3</v>
      </c>
    </row>
    <row r="742" spans="2:8" x14ac:dyDescent="0.35">
      <c r="B742" s="74">
        <v>45524</v>
      </c>
      <c r="C742">
        <v>24698.85</v>
      </c>
      <c r="D742" s="64">
        <f t="shared" si="22"/>
        <v>5.1357912150296059E-3</v>
      </c>
      <c r="F742" s="74">
        <v>45524</v>
      </c>
      <c r="G742" s="40">
        <v>1872.2</v>
      </c>
      <c r="H742">
        <f t="shared" si="23"/>
        <v>3.9682539682539542E-3</v>
      </c>
    </row>
    <row r="743" spans="2:8" x14ac:dyDescent="0.35">
      <c r="B743" s="74">
        <v>45525</v>
      </c>
      <c r="C743">
        <v>24770.2</v>
      </c>
      <c r="D743" s="64">
        <f t="shared" si="22"/>
        <v>2.888798466325504E-3</v>
      </c>
      <c r="F743" s="74">
        <v>45525</v>
      </c>
      <c r="G743" s="40">
        <v>1872.7</v>
      </c>
      <c r="H743">
        <f t="shared" si="23"/>
        <v>2.6706548445676326E-4</v>
      </c>
    </row>
    <row r="744" spans="2:8" x14ac:dyDescent="0.35">
      <c r="B744" s="74">
        <v>45526</v>
      </c>
      <c r="C744">
        <v>24811.5</v>
      </c>
      <c r="D744" s="64">
        <f t="shared" si="22"/>
        <v>1.6673260611541618E-3</v>
      </c>
      <c r="F744" s="74">
        <v>45526</v>
      </c>
      <c r="G744" s="40">
        <v>1880.25</v>
      </c>
      <c r="H744">
        <f t="shared" si="23"/>
        <v>4.0316121108558978E-3</v>
      </c>
    </row>
    <row r="745" spans="2:8" x14ac:dyDescent="0.35">
      <c r="B745" s="74">
        <v>45527</v>
      </c>
      <c r="C745">
        <v>24823.15</v>
      </c>
      <c r="D745" s="64">
        <f t="shared" si="22"/>
        <v>4.6954033411927831E-4</v>
      </c>
      <c r="F745" s="74">
        <v>45527</v>
      </c>
      <c r="G745" s="40">
        <v>1862.1</v>
      </c>
      <c r="H745">
        <f t="shared" si="23"/>
        <v>-9.6529716792980169E-3</v>
      </c>
    </row>
    <row r="746" spans="2:8" x14ac:dyDescent="0.35">
      <c r="B746" s="74">
        <v>45530</v>
      </c>
      <c r="C746">
        <v>25010.6</v>
      </c>
      <c r="D746" s="64">
        <f t="shared" si="22"/>
        <v>7.5514187361394036E-3</v>
      </c>
      <c r="F746" s="74">
        <v>45530</v>
      </c>
      <c r="G746" s="40">
        <v>1876.15</v>
      </c>
      <c r="H746">
        <f t="shared" si="23"/>
        <v>7.5452446162935782E-3</v>
      </c>
    </row>
    <row r="747" spans="2:8" x14ac:dyDescent="0.35">
      <c r="B747" s="74">
        <v>45531</v>
      </c>
      <c r="C747">
        <v>25017.75</v>
      </c>
      <c r="D747" s="64">
        <f t="shared" si="22"/>
        <v>2.8587878739427808E-4</v>
      </c>
      <c r="F747" s="74">
        <v>45531</v>
      </c>
      <c r="G747" s="40">
        <v>1900.1</v>
      </c>
      <c r="H747">
        <f t="shared" si="23"/>
        <v>1.2765503824321067E-2</v>
      </c>
    </row>
    <row r="748" spans="2:8" x14ac:dyDescent="0.35">
      <c r="B748" s="74">
        <v>45532</v>
      </c>
      <c r="C748">
        <v>25052.35</v>
      </c>
      <c r="D748" s="64">
        <f t="shared" si="22"/>
        <v>1.3830180571794415E-3</v>
      </c>
      <c r="F748" s="74">
        <v>45532</v>
      </c>
      <c r="G748" s="40">
        <v>1939.1</v>
      </c>
      <c r="H748">
        <f t="shared" si="23"/>
        <v>2.052523551392027E-2</v>
      </c>
    </row>
    <row r="749" spans="2:8" x14ac:dyDescent="0.35">
      <c r="B749" s="74">
        <v>45533</v>
      </c>
      <c r="C749">
        <v>25151.95</v>
      </c>
      <c r="D749" s="64">
        <f t="shared" si="22"/>
        <v>3.975674936682605E-3</v>
      </c>
      <c r="F749" s="74">
        <v>45533</v>
      </c>
      <c r="G749" s="40">
        <v>1933.35</v>
      </c>
      <c r="H749">
        <f t="shared" si="23"/>
        <v>-2.9652931772471414E-3</v>
      </c>
    </row>
    <row r="750" spans="2:8" x14ac:dyDescent="0.35">
      <c r="B750" s="74">
        <v>45534</v>
      </c>
      <c r="C750">
        <v>25235.9</v>
      </c>
      <c r="D750" s="64">
        <f t="shared" si="22"/>
        <v>3.3377133780880808E-3</v>
      </c>
      <c r="F750" s="74">
        <v>45534</v>
      </c>
      <c r="G750" s="40">
        <v>1943.7</v>
      </c>
      <c r="H750">
        <f t="shared" si="23"/>
        <v>5.353402125843898E-3</v>
      </c>
    </row>
    <row r="751" spans="2:8" x14ac:dyDescent="0.35">
      <c r="B751" s="74">
        <v>45537</v>
      </c>
      <c r="C751">
        <v>25278.7</v>
      </c>
      <c r="D751" s="64">
        <f t="shared" si="22"/>
        <v>1.6959965763059248E-3</v>
      </c>
      <c r="F751" s="74">
        <v>45537</v>
      </c>
      <c r="G751" s="40">
        <v>1964.5</v>
      </c>
      <c r="H751">
        <f t="shared" si="23"/>
        <v>1.0701239903277315E-2</v>
      </c>
    </row>
    <row r="752" spans="2:8" x14ac:dyDescent="0.35">
      <c r="B752" s="74">
        <v>45538</v>
      </c>
      <c r="C752">
        <v>25279.85</v>
      </c>
      <c r="D752" s="64">
        <f t="shared" si="22"/>
        <v>4.5492845755390476E-5</v>
      </c>
      <c r="F752" s="74">
        <v>45538</v>
      </c>
      <c r="G752" s="40">
        <v>1941.25</v>
      </c>
      <c r="H752">
        <f t="shared" si="23"/>
        <v>-1.1835072537541347E-2</v>
      </c>
    </row>
    <row r="753" spans="2:8" x14ac:dyDescent="0.35">
      <c r="B753" s="74">
        <v>45539</v>
      </c>
      <c r="C753">
        <v>25198.7</v>
      </c>
      <c r="D753" s="64">
        <f t="shared" si="22"/>
        <v>-3.2100665154262131E-3</v>
      </c>
      <c r="F753" s="74">
        <v>45539</v>
      </c>
      <c r="G753" s="40">
        <v>1922.45</v>
      </c>
      <c r="H753">
        <f t="shared" si="23"/>
        <v>-9.6844816484223939E-3</v>
      </c>
    </row>
    <row r="754" spans="2:8" x14ac:dyDescent="0.35">
      <c r="B754" s="74">
        <v>45540</v>
      </c>
      <c r="C754">
        <v>25145.1</v>
      </c>
      <c r="D754" s="64">
        <f t="shared" si="22"/>
        <v>-2.127093858016571E-3</v>
      </c>
      <c r="F754" s="74">
        <v>45540</v>
      </c>
      <c r="G754" s="40">
        <v>1933.15</v>
      </c>
      <c r="H754">
        <f t="shared" si="23"/>
        <v>5.5658144555126299E-3</v>
      </c>
    </row>
    <row r="755" spans="2:8" x14ac:dyDescent="0.35">
      <c r="B755" s="74">
        <v>45541</v>
      </c>
      <c r="C755">
        <v>24852.15</v>
      </c>
      <c r="D755" s="64">
        <f t="shared" si="22"/>
        <v>-1.16503811875871E-2</v>
      </c>
      <c r="F755" s="74">
        <v>45541</v>
      </c>
      <c r="G755" s="40">
        <v>1901.85</v>
      </c>
      <c r="H755">
        <f t="shared" si="23"/>
        <v>-1.6191190543931033E-2</v>
      </c>
    </row>
    <row r="756" spans="2:8" x14ac:dyDescent="0.35">
      <c r="B756" s="74">
        <v>45544</v>
      </c>
      <c r="C756">
        <v>24936.400000000001</v>
      </c>
      <c r="D756" s="64">
        <f t="shared" si="22"/>
        <v>3.3900487482974029E-3</v>
      </c>
      <c r="F756" s="74">
        <v>45544</v>
      </c>
      <c r="G756" s="40">
        <v>1894.65</v>
      </c>
      <c r="H756">
        <f t="shared" si="23"/>
        <v>-3.7857875226752213E-3</v>
      </c>
    </row>
    <row r="757" spans="2:8" x14ac:dyDescent="0.35">
      <c r="B757" s="74">
        <v>45545</v>
      </c>
      <c r="C757">
        <v>25041.1</v>
      </c>
      <c r="D757" s="64">
        <f t="shared" si="22"/>
        <v>4.1986814455974297E-3</v>
      </c>
      <c r="F757" s="74">
        <v>45545</v>
      </c>
      <c r="G757" s="40">
        <v>1912.3</v>
      </c>
      <c r="H757">
        <f t="shared" si="23"/>
        <v>9.3157047475787014E-3</v>
      </c>
    </row>
    <row r="758" spans="2:8" x14ac:dyDescent="0.35">
      <c r="B758" s="74">
        <v>45546</v>
      </c>
      <c r="C758">
        <v>24918.45</v>
      </c>
      <c r="D758" s="64">
        <f t="shared" si="22"/>
        <v>-4.8979477738596566E-3</v>
      </c>
      <c r="F758" s="74">
        <v>45546</v>
      </c>
      <c r="G758" s="40">
        <v>1910.15</v>
      </c>
      <c r="H758">
        <f t="shared" si="23"/>
        <v>-1.1243005804527639E-3</v>
      </c>
    </row>
    <row r="759" spans="2:8" x14ac:dyDescent="0.35">
      <c r="B759" s="74">
        <v>45547</v>
      </c>
      <c r="C759">
        <v>25388.9</v>
      </c>
      <c r="D759" s="64">
        <f t="shared" si="22"/>
        <v>1.8879585206944993E-2</v>
      </c>
      <c r="F759" s="74">
        <v>45547</v>
      </c>
      <c r="G759" s="40">
        <v>1950.45</v>
      </c>
      <c r="H759">
        <f t="shared" si="23"/>
        <v>2.1097819542967855E-2</v>
      </c>
    </row>
    <row r="760" spans="2:8" x14ac:dyDescent="0.35">
      <c r="B760" s="74">
        <v>45548</v>
      </c>
      <c r="C760">
        <v>25356.5</v>
      </c>
      <c r="D760" s="64">
        <f t="shared" si="22"/>
        <v>-1.276148238009589E-3</v>
      </c>
      <c r="F760" s="74">
        <v>45548</v>
      </c>
      <c r="G760" s="40">
        <v>1944.1</v>
      </c>
      <c r="H760">
        <f t="shared" si="23"/>
        <v>-3.2556589504986189E-3</v>
      </c>
    </row>
    <row r="761" spans="2:8" x14ac:dyDescent="0.35">
      <c r="B761" s="74">
        <v>45551</v>
      </c>
      <c r="C761">
        <v>25383.75</v>
      </c>
      <c r="D761" s="64">
        <f t="shared" si="22"/>
        <v>1.0746751326089488E-3</v>
      </c>
      <c r="F761" s="74">
        <v>45551</v>
      </c>
      <c r="G761" s="40">
        <v>1950.25</v>
      </c>
      <c r="H761">
        <f t="shared" si="23"/>
        <v>3.1634175196748604E-3</v>
      </c>
    </row>
    <row r="762" spans="2:8" x14ac:dyDescent="0.35">
      <c r="B762" s="74">
        <v>45552</v>
      </c>
      <c r="C762">
        <v>25418.55</v>
      </c>
      <c r="D762" s="64">
        <f t="shared" si="22"/>
        <v>1.3709558280394774E-3</v>
      </c>
      <c r="F762" s="74">
        <v>45552</v>
      </c>
      <c r="G762" s="40">
        <v>1952.55</v>
      </c>
      <c r="H762">
        <f t="shared" si="23"/>
        <v>1.1793359825662542E-3</v>
      </c>
    </row>
    <row r="763" spans="2:8" x14ac:dyDescent="0.35">
      <c r="B763" s="74">
        <v>45553</v>
      </c>
      <c r="C763">
        <v>25377.55</v>
      </c>
      <c r="D763" s="64">
        <f t="shared" si="22"/>
        <v>-1.6129952337957665E-3</v>
      </c>
      <c r="F763" s="74">
        <v>45553</v>
      </c>
      <c r="G763" s="40">
        <v>1892.15</v>
      </c>
      <c r="H763">
        <f t="shared" si="23"/>
        <v>-3.093390694220377E-2</v>
      </c>
    </row>
    <row r="764" spans="2:8" x14ac:dyDescent="0.35">
      <c r="B764" s="74">
        <v>45554</v>
      </c>
      <c r="C764">
        <v>25415.8</v>
      </c>
      <c r="D764" s="64">
        <f t="shared" si="22"/>
        <v>1.5072376963103373E-3</v>
      </c>
      <c r="F764" s="74">
        <v>45554</v>
      </c>
      <c r="G764" s="40">
        <v>1894.2</v>
      </c>
      <c r="H764">
        <f t="shared" si="23"/>
        <v>1.0834236186347823E-3</v>
      </c>
    </row>
    <row r="765" spans="2:8" x14ac:dyDescent="0.35">
      <c r="B765" s="74">
        <v>45555</v>
      </c>
      <c r="C765">
        <v>25790.95</v>
      </c>
      <c r="D765" s="64">
        <f t="shared" si="22"/>
        <v>1.4760503308965278E-2</v>
      </c>
      <c r="F765" s="74">
        <v>45555</v>
      </c>
      <c r="G765" s="40">
        <v>1905.75</v>
      </c>
      <c r="H765">
        <f t="shared" si="23"/>
        <v>6.0975609756097615E-3</v>
      </c>
    </row>
    <row r="766" spans="2:8" x14ac:dyDescent="0.35">
      <c r="B766" s="74">
        <v>45558</v>
      </c>
      <c r="C766">
        <v>25939.05</v>
      </c>
      <c r="D766" s="64">
        <f t="shared" si="22"/>
        <v>5.7423243424534753E-3</v>
      </c>
      <c r="F766" s="74">
        <v>45558</v>
      </c>
      <c r="G766" s="40">
        <v>1896.45</v>
      </c>
      <c r="H766">
        <f t="shared" si="23"/>
        <v>-4.8799685163321005E-3</v>
      </c>
    </row>
    <row r="767" spans="2:8" x14ac:dyDescent="0.35">
      <c r="B767" s="74">
        <v>45559</v>
      </c>
      <c r="C767">
        <v>25940.400000000001</v>
      </c>
      <c r="D767" s="64">
        <f t="shared" si="22"/>
        <v>5.2045082607143911E-5</v>
      </c>
      <c r="F767" s="74">
        <v>45559</v>
      </c>
      <c r="G767" s="40">
        <v>1898.6</v>
      </c>
      <c r="H767">
        <f t="shared" si="23"/>
        <v>1.1336971710300681E-3</v>
      </c>
    </row>
    <row r="768" spans="2:8" x14ac:dyDescent="0.35">
      <c r="B768" s="74">
        <v>45560</v>
      </c>
      <c r="C768">
        <v>26004.15</v>
      </c>
      <c r="D768" s="64">
        <f t="shared" si="22"/>
        <v>2.4575565527131804E-3</v>
      </c>
      <c r="F768" s="74">
        <v>45560</v>
      </c>
      <c r="G768" s="40">
        <v>1895.3</v>
      </c>
      <c r="H768">
        <f t="shared" si="23"/>
        <v>-1.7381228273464222E-3</v>
      </c>
    </row>
    <row r="769" spans="2:8" x14ac:dyDescent="0.35">
      <c r="B769" s="74">
        <v>45561</v>
      </c>
      <c r="C769">
        <v>26216.05</v>
      </c>
      <c r="D769" s="64">
        <f t="shared" si="22"/>
        <v>8.1486993422204002E-3</v>
      </c>
      <c r="F769" s="74">
        <v>45561</v>
      </c>
      <c r="G769" s="40">
        <v>1900.25</v>
      </c>
      <c r="H769">
        <f t="shared" si="23"/>
        <v>2.6117237376668268E-3</v>
      </c>
    </row>
    <row r="770" spans="2:8" x14ac:dyDescent="0.35">
      <c r="B770" s="74">
        <v>45562</v>
      </c>
      <c r="C770">
        <v>26178.95</v>
      </c>
      <c r="D770" s="64">
        <f t="shared" si="22"/>
        <v>-1.4151636116043198E-3</v>
      </c>
      <c r="F770" s="74">
        <v>45562</v>
      </c>
      <c r="G770" s="40">
        <v>1906.75</v>
      </c>
      <c r="H770">
        <f t="shared" si="23"/>
        <v>3.420602552295815E-3</v>
      </c>
    </row>
    <row r="771" spans="2:8" x14ac:dyDescent="0.35">
      <c r="B771" s="74">
        <v>45565</v>
      </c>
      <c r="C771">
        <v>25810.85</v>
      </c>
      <c r="D771" s="64">
        <f t="shared" si="22"/>
        <v>-1.4060915353747983E-2</v>
      </c>
      <c r="F771" s="74">
        <v>45565</v>
      </c>
      <c r="G771" s="40">
        <v>1875.6</v>
      </c>
      <c r="H771">
        <f t="shared" si="23"/>
        <v>-1.6336698570866726E-2</v>
      </c>
    </row>
    <row r="772" spans="2:8" x14ac:dyDescent="0.35">
      <c r="B772" s="74">
        <v>45566</v>
      </c>
      <c r="C772">
        <v>25796.9</v>
      </c>
      <c r="D772" s="64">
        <f t="shared" si="22"/>
        <v>-5.4047038357885047E-4</v>
      </c>
      <c r="F772" s="74">
        <v>45566</v>
      </c>
      <c r="G772" s="40">
        <v>1904.35</v>
      </c>
      <c r="H772">
        <f t="shared" si="23"/>
        <v>1.5328428236297764E-2</v>
      </c>
    </row>
    <row r="773" spans="2:8" x14ac:dyDescent="0.35">
      <c r="B773" s="74">
        <v>45568</v>
      </c>
      <c r="C773">
        <v>25250.1</v>
      </c>
      <c r="D773" s="64">
        <f t="shared" si="22"/>
        <v>-2.1196345297303298E-2</v>
      </c>
      <c r="F773" s="74">
        <v>45568</v>
      </c>
      <c r="G773" s="40">
        <v>1893.4</v>
      </c>
      <c r="H773">
        <f t="shared" si="23"/>
        <v>-5.7499934360804028E-3</v>
      </c>
    </row>
    <row r="774" spans="2:8" x14ac:dyDescent="0.35">
      <c r="B774" s="74">
        <v>45569</v>
      </c>
      <c r="C774">
        <v>25014.6</v>
      </c>
      <c r="D774" s="64">
        <f t="shared" si="22"/>
        <v>-9.3266957358584257E-3</v>
      </c>
      <c r="F774" s="74">
        <v>45569</v>
      </c>
      <c r="G774" s="40">
        <v>1918.15</v>
      </c>
      <c r="H774">
        <f t="shared" si="23"/>
        <v>1.3071722826661025E-2</v>
      </c>
    </row>
    <row r="775" spans="2:8" x14ac:dyDescent="0.35">
      <c r="B775" s="74">
        <v>45572</v>
      </c>
      <c r="C775">
        <v>24795.75</v>
      </c>
      <c r="D775" s="64">
        <f t="shared" ref="D775:D838" si="24">C775/C774-1</f>
        <v>-8.7488906478615514E-3</v>
      </c>
      <c r="F775" s="74">
        <v>45572</v>
      </c>
      <c r="G775" s="40">
        <v>1934.3</v>
      </c>
      <c r="H775">
        <f t="shared" ref="H775:H838" si="25">G775/G774-1</f>
        <v>8.4195709407501873E-3</v>
      </c>
    </row>
    <row r="776" spans="2:8" x14ac:dyDescent="0.35">
      <c r="B776" s="74">
        <v>45573</v>
      </c>
      <c r="C776">
        <v>25013.15</v>
      </c>
      <c r="D776" s="64">
        <f t="shared" si="24"/>
        <v>8.7676315497615676E-3</v>
      </c>
      <c r="F776" s="74">
        <v>45573</v>
      </c>
      <c r="G776" s="40">
        <v>1948.55</v>
      </c>
      <c r="H776">
        <f t="shared" si="25"/>
        <v>7.3670061520962893E-3</v>
      </c>
    </row>
    <row r="777" spans="2:8" x14ac:dyDescent="0.35">
      <c r="B777" s="74">
        <v>45574</v>
      </c>
      <c r="C777">
        <v>24981.95</v>
      </c>
      <c r="D777" s="64">
        <f t="shared" si="24"/>
        <v>-1.2473438971101203E-3</v>
      </c>
      <c r="F777" s="74">
        <v>45574</v>
      </c>
      <c r="G777" s="40">
        <v>1952.75</v>
      </c>
      <c r="H777">
        <f t="shared" si="25"/>
        <v>2.1554489235584562E-3</v>
      </c>
    </row>
    <row r="778" spans="2:8" x14ac:dyDescent="0.35">
      <c r="B778" s="74">
        <v>45575</v>
      </c>
      <c r="C778">
        <v>24998.45</v>
      </c>
      <c r="D778" s="64">
        <f t="shared" si="24"/>
        <v>6.6047686429593355E-4</v>
      </c>
      <c r="F778" s="74">
        <v>45575</v>
      </c>
      <c r="G778" s="40">
        <v>1919</v>
      </c>
      <c r="H778">
        <f t="shared" si="25"/>
        <v>-1.7283318397132263E-2</v>
      </c>
    </row>
    <row r="779" spans="2:8" x14ac:dyDescent="0.35">
      <c r="B779" s="74">
        <v>45576</v>
      </c>
      <c r="C779">
        <v>24964.25</v>
      </c>
      <c r="D779" s="64">
        <f t="shared" si="24"/>
        <v>-1.3680848212589414E-3</v>
      </c>
      <c r="F779" s="74">
        <v>45576</v>
      </c>
      <c r="G779" s="40">
        <v>1935.1</v>
      </c>
      <c r="H779">
        <f t="shared" si="25"/>
        <v>8.3897863470556722E-3</v>
      </c>
    </row>
    <row r="780" spans="2:8" x14ac:dyDescent="0.35">
      <c r="B780" s="74">
        <v>45579</v>
      </c>
      <c r="C780">
        <v>25127.95</v>
      </c>
      <c r="D780" s="64">
        <f t="shared" si="24"/>
        <v>6.5573770491802463E-3</v>
      </c>
      <c r="F780" s="74">
        <v>45579</v>
      </c>
      <c r="G780" s="40">
        <v>1958.9</v>
      </c>
      <c r="H780">
        <f t="shared" si="25"/>
        <v>1.2299105989354686E-2</v>
      </c>
    </row>
    <row r="781" spans="2:8" x14ac:dyDescent="0.35">
      <c r="B781" s="74">
        <v>45580</v>
      </c>
      <c r="C781">
        <v>25057.35</v>
      </c>
      <c r="D781" s="64">
        <f t="shared" si="24"/>
        <v>-2.809620362982379E-3</v>
      </c>
      <c r="F781" s="74">
        <v>45580</v>
      </c>
      <c r="G781" s="40">
        <v>1959.3</v>
      </c>
      <c r="H781">
        <f t="shared" si="25"/>
        <v>2.0419623257939001E-4</v>
      </c>
    </row>
    <row r="782" spans="2:8" x14ac:dyDescent="0.35">
      <c r="B782" s="74">
        <v>45581</v>
      </c>
      <c r="C782">
        <v>24971.3</v>
      </c>
      <c r="D782" s="64">
        <f t="shared" si="24"/>
        <v>-3.4341221238478603E-3</v>
      </c>
      <c r="F782" s="74">
        <v>45581</v>
      </c>
      <c r="G782" s="40">
        <v>1920.1</v>
      </c>
      <c r="H782">
        <f t="shared" si="25"/>
        <v>-2.0007145409074667E-2</v>
      </c>
    </row>
    <row r="783" spans="2:8" x14ac:dyDescent="0.35">
      <c r="B783" s="74">
        <v>45582</v>
      </c>
      <c r="C783">
        <v>24749.85</v>
      </c>
      <c r="D783" s="64">
        <f t="shared" si="24"/>
        <v>-8.8681806714108191E-3</v>
      </c>
      <c r="F783" s="74">
        <v>45582</v>
      </c>
      <c r="G783" s="40">
        <v>1968.1</v>
      </c>
      <c r="H783">
        <f t="shared" si="25"/>
        <v>2.4998697984480067E-2</v>
      </c>
    </row>
    <row r="784" spans="2:8" x14ac:dyDescent="0.35">
      <c r="B784" s="74">
        <v>45583</v>
      </c>
      <c r="C784">
        <v>24854.05</v>
      </c>
      <c r="D784" s="64">
        <f t="shared" si="24"/>
        <v>4.2101265260194864E-3</v>
      </c>
      <c r="F784" s="74">
        <v>45583</v>
      </c>
      <c r="G784" s="40">
        <v>1879.6</v>
      </c>
      <c r="H784">
        <f t="shared" si="25"/>
        <v>-4.4967227275036881E-2</v>
      </c>
    </row>
    <row r="785" spans="2:8" x14ac:dyDescent="0.35">
      <c r="B785" s="74">
        <v>45586</v>
      </c>
      <c r="C785">
        <v>24781.1</v>
      </c>
      <c r="D785" s="64">
        <f t="shared" si="24"/>
        <v>-2.9351353199982277E-3</v>
      </c>
      <c r="F785" s="74">
        <v>45586</v>
      </c>
      <c r="G785" s="40">
        <v>1852.75</v>
      </c>
      <c r="H785">
        <f t="shared" si="25"/>
        <v>-1.4284954245584069E-2</v>
      </c>
    </row>
    <row r="786" spans="2:8" x14ac:dyDescent="0.35">
      <c r="B786" s="74">
        <v>45587</v>
      </c>
      <c r="C786">
        <v>24472.1</v>
      </c>
      <c r="D786" s="64">
        <f t="shared" si="24"/>
        <v>-1.2469180141317371E-2</v>
      </c>
      <c r="F786" s="74">
        <v>45587</v>
      </c>
      <c r="G786" s="40">
        <v>1851.6</v>
      </c>
      <c r="H786">
        <f t="shared" si="25"/>
        <v>-6.2069896100391819E-4</v>
      </c>
    </row>
    <row r="787" spans="2:8" x14ac:dyDescent="0.35">
      <c r="B787" s="74">
        <v>45588</v>
      </c>
      <c r="C787">
        <v>24435.5</v>
      </c>
      <c r="D787" s="64">
        <f t="shared" si="24"/>
        <v>-1.4955806816742134E-3</v>
      </c>
      <c r="F787" s="74">
        <v>45588</v>
      </c>
      <c r="G787" s="40">
        <v>1873.4</v>
      </c>
      <c r="H787">
        <f t="shared" si="25"/>
        <v>1.1773601209764673E-2</v>
      </c>
    </row>
    <row r="788" spans="2:8" x14ac:dyDescent="0.35">
      <c r="B788" s="74">
        <v>45589</v>
      </c>
      <c r="C788">
        <v>24399.4</v>
      </c>
      <c r="D788" s="64">
        <f t="shared" si="24"/>
        <v>-1.4773587608192251E-3</v>
      </c>
      <c r="F788" s="74">
        <v>45589</v>
      </c>
      <c r="G788" s="40">
        <v>1863.35</v>
      </c>
      <c r="H788">
        <f t="shared" si="25"/>
        <v>-5.364577773033119E-3</v>
      </c>
    </row>
    <row r="789" spans="2:8" x14ac:dyDescent="0.35">
      <c r="B789" s="74">
        <v>45590</v>
      </c>
      <c r="C789">
        <v>24180.799999999999</v>
      </c>
      <c r="D789" s="64">
        <f t="shared" si="24"/>
        <v>-8.9592367025419506E-3</v>
      </c>
      <c r="F789" s="74">
        <v>45590</v>
      </c>
      <c r="G789" s="40">
        <v>1862.05</v>
      </c>
      <c r="H789">
        <f t="shared" si="25"/>
        <v>-6.9766817828098571E-4</v>
      </c>
    </row>
    <row r="790" spans="2:8" x14ac:dyDescent="0.35">
      <c r="B790" s="74">
        <v>45593</v>
      </c>
      <c r="C790">
        <v>24339.15</v>
      </c>
      <c r="D790" s="64">
        <f t="shared" si="24"/>
        <v>6.5485840005294893E-3</v>
      </c>
      <c r="F790" s="74">
        <v>45593</v>
      </c>
      <c r="G790" s="40">
        <v>1865.35</v>
      </c>
      <c r="H790">
        <f t="shared" si="25"/>
        <v>1.7722402728175268E-3</v>
      </c>
    </row>
    <row r="791" spans="2:8" x14ac:dyDescent="0.35">
      <c r="B791" s="74">
        <v>45594</v>
      </c>
      <c r="C791">
        <v>24466.85</v>
      </c>
      <c r="D791" s="64">
        <f t="shared" si="24"/>
        <v>5.2466910307056303E-3</v>
      </c>
      <c r="F791" s="74">
        <v>45594</v>
      </c>
      <c r="G791" s="40">
        <v>1839.3</v>
      </c>
      <c r="H791">
        <f t="shared" si="25"/>
        <v>-1.3965207601790541E-2</v>
      </c>
    </row>
    <row r="792" spans="2:8" x14ac:dyDescent="0.35">
      <c r="B792" s="74">
        <v>45595</v>
      </c>
      <c r="C792">
        <v>24340.85</v>
      </c>
      <c r="D792" s="64">
        <f t="shared" si="24"/>
        <v>-5.1498251716097787E-3</v>
      </c>
      <c r="F792" s="74">
        <v>45595</v>
      </c>
      <c r="G792" s="40">
        <v>1802.1</v>
      </c>
      <c r="H792">
        <f t="shared" si="25"/>
        <v>-2.0225085630402928E-2</v>
      </c>
    </row>
    <row r="793" spans="2:8" x14ac:dyDescent="0.35">
      <c r="B793" s="74">
        <v>45596</v>
      </c>
      <c r="C793">
        <v>24205.35</v>
      </c>
      <c r="D793" s="64">
        <f t="shared" si="24"/>
        <v>-5.5667735514577377E-3</v>
      </c>
      <c r="F793" s="74">
        <v>45596</v>
      </c>
      <c r="G793" s="40">
        <v>1757.25</v>
      </c>
      <c r="H793">
        <f t="shared" si="25"/>
        <v>-2.4887631097053386E-2</v>
      </c>
    </row>
    <row r="794" spans="2:8" x14ac:dyDescent="0.35">
      <c r="B794" s="74">
        <v>45597</v>
      </c>
      <c r="C794">
        <v>24304.35</v>
      </c>
      <c r="D794" s="64">
        <f t="shared" si="24"/>
        <v>4.0900048956118429E-3</v>
      </c>
      <c r="F794" s="74">
        <v>45597</v>
      </c>
      <c r="G794" s="40">
        <v>1760.85</v>
      </c>
      <c r="H794">
        <f t="shared" si="25"/>
        <v>2.0486555697822872E-3</v>
      </c>
    </row>
    <row r="795" spans="2:8" x14ac:dyDescent="0.35">
      <c r="B795" s="74">
        <v>45600</v>
      </c>
      <c r="C795">
        <v>23995.35</v>
      </c>
      <c r="D795" s="64">
        <f t="shared" si="24"/>
        <v>-1.2713773460306443E-2</v>
      </c>
      <c r="F795" s="74">
        <v>45600</v>
      </c>
      <c r="G795" s="40">
        <v>1763.65</v>
      </c>
      <c r="H795">
        <f t="shared" si="25"/>
        <v>1.5901411250249797E-3</v>
      </c>
    </row>
    <row r="796" spans="2:8" x14ac:dyDescent="0.35">
      <c r="B796" s="74">
        <v>45601</v>
      </c>
      <c r="C796">
        <v>24213.3</v>
      </c>
      <c r="D796" s="64">
        <f t="shared" si="24"/>
        <v>9.0830098331551312E-3</v>
      </c>
      <c r="F796" s="74">
        <v>45601</v>
      </c>
      <c r="G796" s="40">
        <v>1754.2</v>
      </c>
      <c r="H796">
        <f t="shared" si="25"/>
        <v>-5.3582059932526516E-3</v>
      </c>
    </row>
    <row r="797" spans="2:8" x14ac:dyDescent="0.35">
      <c r="B797" s="74">
        <v>45602</v>
      </c>
      <c r="C797">
        <v>24484.05</v>
      </c>
      <c r="D797" s="64">
        <f t="shared" si="24"/>
        <v>1.1181871120417242E-2</v>
      </c>
      <c r="F797" s="74">
        <v>45602</v>
      </c>
      <c r="G797" s="40">
        <v>1823.7</v>
      </c>
      <c r="H797">
        <f t="shared" si="25"/>
        <v>3.9619199635161362E-2</v>
      </c>
    </row>
    <row r="798" spans="2:8" x14ac:dyDescent="0.35">
      <c r="B798" s="74">
        <v>45603</v>
      </c>
      <c r="C798">
        <v>24199.35</v>
      </c>
      <c r="D798" s="64">
        <f t="shared" si="24"/>
        <v>-1.1627978214388546E-2</v>
      </c>
      <c r="F798" s="74">
        <v>45603</v>
      </c>
      <c r="G798" s="40">
        <v>1803.05</v>
      </c>
      <c r="H798">
        <f t="shared" si="25"/>
        <v>-1.1323134287437697E-2</v>
      </c>
    </row>
    <row r="799" spans="2:8" x14ac:dyDescent="0.35">
      <c r="B799" s="74">
        <v>45604</v>
      </c>
      <c r="C799">
        <v>24148.2</v>
      </c>
      <c r="D799" s="64">
        <f t="shared" si="24"/>
        <v>-2.1136931363857636E-3</v>
      </c>
      <c r="F799" s="74">
        <v>45604</v>
      </c>
      <c r="G799" s="40">
        <v>1829.95</v>
      </c>
      <c r="H799">
        <f t="shared" si="25"/>
        <v>1.4919164748620428E-2</v>
      </c>
    </row>
    <row r="800" spans="2:8" x14ac:dyDescent="0.35">
      <c r="B800" s="74">
        <v>45607</v>
      </c>
      <c r="C800">
        <v>24141.3</v>
      </c>
      <c r="D800" s="64">
        <f t="shared" si="24"/>
        <v>-2.8573558277644739E-4</v>
      </c>
      <c r="F800" s="74">
        <v>45607</v>
      </c>
      <c r="G800" s="40">
        <v>1860.1</v>
      </c>
      <c r="H800">
        <f t="shared" si="25"/>
        <v>1.6475859996174735E-2</v>
      </c>
    </row>
    <row r="801" spans="2:8" x14ac:dyDescent="0.35">
      <c r="B801" s="74">
        <v>45608</v>
      </c>
      <c r="C801">
        <v>23883.45</v>
      </c>
      <c r="D801" s="64">
        <f t="shared" si="24"/>
        <v>-1.0680866399075395E-2</v>
      </c>
      <c r="F801" s="74">
        <v>45608</v>
      </c>
      <c r="G801" s="40">
        <v>1868.8</v>
      </c>
      <c r="H801">
        <f t="shared" si="25"/>
        <v>4.6771678941992523E-3</v>
      </c>
    </row>
    <row r="802" spans="2:8" x14ac:dyDescent="0.35">
      <c r="B802" s="74">
        <v>45609</v>
      </c>
      <c r="C802">
        <v>23559.05</v>
      </c>
      <c r="D802" s="64">
        <f t="shared" si="24"/>
        <v>-1.3582627300494754E-2</v>
      </c>
      <c r="F802" s="74">
        <v>45609</v>
      </c>
      <c r="G802" s="40">
        <v>1868.4</v>
      </c>
      <c r="H802">
        <f t="shared" si="25"/>
        <v>-2.1404109589029385E-4</v>
      </c>
    </row>
    <row r="803" spans="2:8" x14ac:dyDescent="0.35">
      <c r="B803" s="74">
        <v>45610</v>
      </c>
      <c r="C803">
        <v>23532.7</v>
      </c>
      <c r="D803" s="64">
        <f t="shared" si="24"/>
        <v>-1.1184661520731165E-3</v>
      </c>
      <c r="F803" s="74">
        <v>45610</v>
      </c>
      <c r="G803" s="40">
        <v>1864.55</v>
      </c>
      <c r="H803">
        <f t="shared" si="25"/>
        <v>-2.0605865981588867E-3</v>
      </c>
    </row>
    <row r="804" spans="2:8" x14ac:dyDescent="0.35">
      <c r="B804" s="74">
        <v>45614</v>
      </c>
      <c r="C804">
        <v>23453.8</v>
      </c>
      <c r="D804" s="64">
        <f t="shared" si="24"/>
        <v>-3.3527814487925856E-3</v>
      </c>
      <c r="F804" s="74">
        <v>45614</v>
      </c>
      <c r="G804" s="40">
        <v>1811.45</v>
      </c>
      <c r="H804">
        <f t="shared" si="25"/>
        <v>-2.8478721407310004E-2</v>
      </c>
    </row>
    <row r="805" spans="2:8" x14ac:dyDescent="0.35">
      <c r="B805" s="74">
        <v>45615</v>
      </c>
      <c r="C805">
        <v>23518.5</v>
      </c>
      <c r="D805" s="64">
        <f t="shared" si="24"/>
        <v>2.758614808687776E-3</v>
      </c>
      <c r="F805" s="74">
        <v>45615</v>
      </c>
      <c r="G805" s="40">
        <v>1824.75</v>
      </c>
      <c r="H805">
        <f t="shared" si="25"/>
        <v>7.3421844378811496E-3</v>
      </c>
    </row>
    <row r="806" spans="2:8" x14ac:dyDescent="0.35">
      <c r="B806" s="74">
        <v>45617</v>
      </c>
      <c r="C806">
        <v>23349.9</v>
      </c>
      <c r="D806" s="64">
        <f t="shared" si="24"/>
        <v>-7.1688245423814356E-3</v>
      </c>
      <c r="F806" s="74">
        <v>45617</v>
      </c>
      <c r="G806" s="40">
        <v>1834.05</v>
      </c>
      <c r="H806">
        <f t="shared" si="25"/>
        <v>5.0965885737772609E-3</v>
      </c>
    </row>
    <row r="807" spans="2:8" x14ac:dyDescent="0.35">
      <c r="B807" s="74">
        <v>45618</v>
      </c>
      <c r="C807">
        <v>23907.25</v>
      </c>
      <c r="D807" s="64">
        <f t="shared" si="24"/>
        <v>2.3869481239748191E-2</v>
      </c>
      <c r="F807" s="74">
        <v>45618</v>
      </c>
      <c r="G807" s="40">
        <v>1902.25</v>
      </c>
      <c r="H807">
        <f t="shared" si="25"/>
        <v>3.7185463864125801E-2</v>
      </c>
    </row>
    <row r="808" spans="2:8" x14ac:dyDescent="0.35">
      <c r="B808" s="74">
        <v>45621</v>
      </c>
      <c r="C808">
        <v>24221.9</v>
      </c>
      <c r="D808" s="64">
        <f t="shared" si="24"/>
        <v>1.3161279528176584E-2</v>
      </c>
      <c r="F808" s="74">
        <v>45621</v>
      </c>
      <c r="G808" s="40">
        <v>1889.7</v>
      </c>
      <c r="H808">
        <f t="shared" si="25"/>
        <v>-6.5974503876987667E-3</v>
      </c>
    </row>
    <row r="809" spans="2:8" x14ac:dyDescent="0.35">
      <c r="B809" s="74">
        <v>45622</v>
      </c>
      <c r="C809">
        <v>24194.5</v>
      </c>
      <c r="D809" s="64">
        <f t="shared" si="24"/>
        <v>-1.1312077087264338E-3</v>
      </c>
      <c r="F809" s="74">
        <v>45622</v>
      </c>
      <c r="G809" s="40">
        <v>1924.15</v>
      </c>
      <c r="H809">
        <f t="shared" si="25"/>
        <v>1.8230406942901123E-2</v>
      </c>
    </row>
    <row r="810" spans="2:8" x14ac:dyDescent="0.35">
      <c r="B810" s="74">
        <v>45623</v>
      </c>
      <c r="C810">
        <v>24274.9</v>
      </c>
      <c r="D810" s="64">
        <f t="shared" si="24"/>
        <v>3.3230692926078387E-3</v>
      </c>
      <c r="F810" s="74">
        <v>45623</v>
      </c>
      <c r="G810" s="40">
        <v>1924.5</v>
      </c>
      <c r="H810">
        <f t="shared" si="25"/>
        <v>1.8189850063654589E-4</v>
      </c>
    </row>
    <row r="811" spans="2:8" x14ac:dyDescent="0.35">
      <c r="B811" s="74">
        <v>45624</v>
      </c>
      <c r="C811">
        <v>23914.15</v>
      </c>
      <c r="D811" s="64">
        <f t="shared" si="24"/>
        <v>-1.4861029293632533E-2</v>
      </c>
      <c r="F811" s="74">
        <v>45624</v>
      </c>
      <c r="G811" s="40">
        <v>1856.65</v>
      </c>
      <c r="H811">
        <f t="shared" si="25"/>
        <v>-3.5255910626136644E-2</v>
      </c>
    </row>
    <row r="812" spans="2:8" x14ac:dyDescent="0.35">
      <c r="B812" s="74">
        <v>45625</v>
      </c>
      <c r="C812">
        <v>24131.1</v>
      </c>
      <c r="D812" s="64">
        <f t="shared" si="24"/>
        <v>9.0720347576642713E-3</v>
      </c>
      <c r="F812" s="74">
        <v>45625</v>
      </c>
      <c r="G812" s="40">
        <v>1857.85</v>
      </c>
      <c r="H812">
        <f t="shared" si="25"/>
        <v>6.4632537096365184E-4</v>
      </c>
    </row>
    <row r="813" spans="2:8" x14ac:dyDescent="0.35">
      <c r="B813" s="74">
        <v>45628</v>
      </c>
      <c r="C813">
        <v>24276.05</v>
      </c>
      <c r="D813" s="64">
        <f t="shared" si="24"/>
        <v>6.0067713448621607E-3</v>
      </c>
      <c r="F813" s="74">
        <v>45628</v>
      </c>
      <c r="G813" s="40">
        <v>1879.8</v>
      </c>
      <c r="H813">
        <f t="shared" si="25"/>
        <v>1.1814732082783941E-2</v>
      </c>
    </row>
    <row r="814" spans="2:8" x14ac:dyDescent="0.35">
      <c r="B814" s="74">
        <v>45629</v>
      </c>
      <c r="C814">
        <v>24457.15</v>
      </c>
      <c r="D814" s="64">
        <f t="shared" si="24"/>
        <v>7.4600274756395635E-3</v>
      </c>
      <c r="F814" s="74">
        <v>45629</v>
      </c>
      <c r="G814" s="40">
        <v>1892.1</v>
      </c>
      <c r="H814">
        <f t="shared" si="25"/>
        <v>6.5432492818384702E-3</v>
      </c>
    </row>
    <row r="815" spans="2:8" x14ac:dyDescent="0.35">
      <c r="B815" s="74">
        <v>45630</v>
      </c>
      <c r="C815">
        <v>24467.45</v>
      </c>
      <c r="D815" s="64">
        <f t="shared" si="24"/>
        <v>4.2114473681520437E-4</v>
      </c>
      <c r="F815" s="74">
        <v>45630</v>
      </c>
      <c r="G815" s="40">
        <v>1889.25</v>
      </c>
      <c r="H815">
        <f t="shared" si="25"/>
        <v>-1.5062628825114333E-3</v>
      </c>
    </row>
    <row r="816" spans="2:8" x14ac:dyDescent="0.35">
      <c r="B816" s="74">
        <v>45631</v>
      </c>
      <c r="C816">
        <v>24708.400000000001</v>
      </c>
      <c r="D816" s="64">
        <f t="shared" si="24"/>
        <v>9.8477773531773227E-3</v>
      </c>
      <c r="F816" s="74">
        <v>45631</v>
      </c>
      <c r="G816" s="40">
        <v>1934.85</v>
      </c>
      <c r="H816">
        <f t="shared" si="25"/>
        <v>2.4136562127828443E-2</v>
      </c>
    </row>
    <row r="817" spans="2:8" x14ac:dyDescent="0.35">
      <c r="B817" s="74">
        <v>45632</v>
      </c>
      <c r="C817">
        <v>24677.8</v>
      </c>
      <c r="D817" s="64">
        <f t="shared" si="24"/>
        <v>-1.2384452251057443E-3</v>
      </c>
      <c r="F817" s="74">
        <v>45632</v>
      </c>
      <c r="G817" s="40">
        <v>1922.4</v>
      </c>
      <c r="H817">
        <f t="shared" si="25"/>
        <v>-6.4346073339017762E-3</v>
      </c>
    </row>
    <row r="818" spans="2:8" x14ac:dyDescent="0.35">
      <c r="B818" s="74">
        <v>45635</v>
      </c>
      <c r="C818">
        <v>24619</v>
      </c>
      <c r="D818" s="64">
        <f t="shared" si="24"/>
        <v>-2.3827083451523068E-3</v>
      </c>
      <c r="F818" s="74">
        <v>45635</v>
      </c>
      <c r="G818" s="40">
        <v>1923.65</v>
      </c>
      <c r="H818">
        <f t="shared" si="25"/>
        <v>6.5022888056587291E-4</v>
      </c>
    </row>
    <row r="819" spans="2:8" x14ac:dyDescent="0.35">
      <c r="B819" s="74">
        <v>45636</v>
      </c>
      <c r="C819">
        <v>24610.05</v>
      </c>
      <c r="D819" s="64">
        <f t="shared" si="24"/>
        <v>-3.6354035501040549E-4</v>
      </c>
      <c r="F819" s="74">
        <v>45636</v>
      </c>
      <c r="G819" s="40">
        <v>1948.55</v>
      </c>
      <c r="H819">
        <f t="shared" si="25"/>
        <v>1.2944142645491485E-2</v>
      </c>
    </row>
    <row r="820" spans="2:8" x14ac:dyDescent="0.35">
      <c r="B820" s="74">
        <v>45637</v>
      </c>
      <c r="C820">
        <v>24641.8</v>
      </c>
      <c r="D820" s="64">
        <f t="shared" si="24"/>
        <v>1.2901233439184256E-3</v>
      </c>
      <c r="F820" s="74">
        <v>45637</v>
      </c>
      <c r="G820" s="40">
        <v>1974.15</v>
      </c>
      <c r="H820">
        <f t="shared" si="25"/>
        <v>1.3137974391214113E-2</v>
      </c>
    </row>
    <row r="821" spans="2:8" x14ac:dyDescent="0.35">
      <c r="B821" s="74">
        <v>45638</v>
      </c>
      <c r="C821">
        <v>24548.7</v>
      </c>
      <c r="D821" s="64">
        <f t="shared" si="24"/>
        <v>-3.778133090926783E-3</v>
      </c>
      <c r="F821" s="74">
        <v>45638</v>
      </c>
      <c r="G821" s="40">
        <v>1987</v>
      </c>
      <c r="H821">
        <f t="shared" si="25"/>
        <v>6.5091305118658571E-3</v>
      </c>
    </row>
    <row r="822" spans="2:8" x14ac:dyDescent="0.35">
      <c r="B822" s="74">
        <v>45639</v>
      </c>
      <c r="C822">
        <v>24768.3</v>
      </c>
      <c r="D822" s="64">
        <f t="shared" si="24"/>
        <v>8.9454838749098986E-3</v>
      </c>
      <c r="F822" s="74">
        <v>45639</v>
      </c>
      <c r="G822" s="40">
        <v>1999.7</v>
      </c>
      <c r="H822">
        <f t="shared" si="25"/>
        <v>6.3915450427780574E-3</v>
      </c>
    </row>
    <row r="823" spans="2:8" x14ac:dyDescent="0.35">
      <c r="B823" s="74">
        <v>45642</v>
      </c>
      <c r="C823">
        <v>24668.25</v>
      </c>
      <c r="D823" s="64">
        <f t="shared" si="24"/>
        <v>-4.0394375068131261E-3</v>
      </c>
      <c r="F823" s="74">
        <v>45642</v>
      </c>
      <c r="G823" s="40">
        <v>1980.05</v>
      </c>
      <c r="H823">
        <f t="shared" si="25"/>
        <v>-9.8264739710957061E-3</v>
      </c>
    </row>
    <row r="824" spans="2:8" x14ac:dyDescent="0.35">
      <c r="B824" s="74">
        <v>45643</v>
      </c>
      <c r="C824">
        <v>24336</v>
      </c>
      <c r="D824" s="64">
        <f t="shared" si="24"/>
        <v>-1.3468730047733413E-2</v>
      </c>
      <c r="F824" s="74">
        <v>45643</v>
      </c>
      <c r="G824" s="40">
        <v>1976.6</v>
      </c>
      <c r="H824">
        <f t="shared" si="25"/>
        <v>-1.7423802429231694E-3</v>
      </c>
    </row>
    <row r="825" spans="2:8" x14ac:dyDescent="0.35">
      <c r="B825" s="74">
        <v>45644</v>
      </c>
      <c r="C825">
        <v>24198.85</v>
      </c>
      <c r="D825" s="64">
        <f t="shared" si="24"/>
        <v>-5.6356837606837962E-3</v>
      </c>
      <c r="F825" s="74">
        <v>45644</v>
      </c>
      <c r="G825" s="40">
        <v>1979.15</v>
      </c>
      <c r="H825">
        <f t="shared" si="25"/>
        <v>1.2900941009814648E-3</v>
      </c>
    </row>
    <row r="826" spans="2:8" x14ac:dyDescent="0.35">
      <c r="B826" s="74">
        <v>45645</v>
      </c>
      <c r="C826">
        <v>23951.7</v>
      </c>
      <c r="D826" s="64">
        <f t="shared" si="24"/>
        <v>-1.0213295259898669E-2</v>
      </c>
      <c r="F826" s="74">
        <v>45645</v>
      </c>
      <c r="G826" s="40">
        <v>1946.2</v>
      </c>
      <c r="H826">
        <f t="shared" si="25"/>
        <v>-1.6648561251042082E-2</v>
      </c>
    </row>
    <row r="827" spans="2:8" x14ac:dyDescent="0.35">
      <c r="B827" s="74">
        <v>45646</v>
      </c>
      <c r="C827">
        <v>23587.5</v>
      </c>
      <c r="D827" s="64">
        <f t="shared" si="24"/>
        <v>-1.5205601272561098E-2</v>
      </c>
      <c r="F827" s="74">
        <v>45646</v>
      </c>
      <c r="G827" s="40">
        <v>1922.15</v>
      </c>
      <c r="H827">
        <f t="shared" si="25"/>
        <v>-1.2357414448669224E-2</v>
      </c>
    </row>
    <row r="828" spans="2:8" x14ac:dyDescent="0.35">
      <c r="B828" s="74">
        <v>45649</v>
      </c>
      <c r="C828">
        <v>23753.45</v>
      </c>
      <c r="D828" s="64">
        <f t="shared" si="24"/>
        <v>7.0355060943296799E-3</v>
      </c>
      <c r="F828" s="74">
        <v>45649</v>
      </c>
      <c r="G828" s="40">
        <v>1924.3</v>
      </c>
      <c r="H828">
        <f t="shared" si="25"/>
        <v>1.1185391358634611E-3</v>
      </c>
    </row>
    <row r="829" spans="2:8" x14ac:dyDescent="0.35">
      <c r="B829" s="74">
        <v>45650</v>
      </c>
      <c r="C829">
        <v>23727.65</v>
      </c>
      <c r="D829" s="64">
        <f t="shared" si="24"/>
        <v>-1.0861580107310864E-3</v>
      </c>
      <c r="F829" s="74">
        <v>45650</v>
      </c>
      <c r="G829" s="40">
        <v>1909.05</v>
      </c>
      <c r="H829">
        <f t="shared" si="25"/>
        <v>-7.9249597256144666E-3</v>
      </c>
    </row>
    <row r="830" spans="2:8" x14ac:dyDescent="0.35">
      <c r="B830" s="74">
        <v>45652</v>
      </c>
      <c r="C830">
        <v>23750.2</v>
      </c>
      <c r="D830" s="64">
        <f t="shared" si="24"/>
        <v>9.5036803054671104E-4</v>
      </c>
      <c r="F830" s="74">
        <v>45652</v>
      </c>
      <c r="G830" s="40">
        <v>1907.4</v>
      </c>
      <c r="H830">
        <f t="shared" si="25"/>
        <v>-8.6430423509065157E-4</v>
      </c>
    </row>
    <row r="831" spans="2:8" x14ac:dyDescent="0.35">
      <c r="B831" s="74">
        <v>45653</v>
      </c>
      <c r="C831">
        <v>23813.4</v>
      </c>
      <c r="D831" s="64">
        <f t="shared" si="24"/>
        <v>2.6610302229033156E-3</v>
      </c>
      <c r="F831" s="74">
        <v>45653</v>
      </c>
      <c r="G831" s="40">
        <v>1916.75</v>
      </c>
      <c r="H831">
        <f t="shared" si="25"/>
        <v>4.9019607843137081E-3</v>
      </c>
    </row>
    <row r="832" spans="2:8" x14ac:dyDescent="0.35">
      <c r="B832" s="74">
        <v>45656</v>
      </c>
      <c r="C832">
        <v>23644.9</v>
      </c>
      <c r="D832" s="64">
        <f t="shared" si="24"/>
        <v>-7.0758480519371725E-3</v>
      </c>
      <c r="F832" s="74">
        <v>45656</v>
      </c>
      <c r="G832" s="40">
        <v>1906</v>
      </c>
      <c r="H832">
        <f t="shared" si="25"/>
        <v>-5.6084518064432043E-3</v>
      </c>
    </row>
    <row r="833" spans="2:8" x14ac:dyDescent="0.35">
      <c r="B833" s="74">
        <v>45657</v>
      </c>
      <c r="C833">
        <v>23644.799999999999</v>
      </c>
      <c r="D833" s="64">
        <f t="shared" si="24"/>
        <v>-4.2292418238609741E-6</v>
      </c>
      <c r="F833" s="74">
        <v>45657</v>
      </c>
      <c r="G833" s="40">
        <v>1880</v>
      </c>
      <c r="H833">
        <f t="shared" si="25"/>
        <v>-1.3641133263378791E-2</v>
      </c>
    </row>
    <row r="834" spans="2:8" x14ac:dyDescent="0.35">
      <c r="B834" s="74">
        <v>45658</v>
      </c>
      <c r="C834">
        <v>23742.9</v>
      </c>
      <c r="D834" s="64">
        <f t="shared" si="24"/>
        <v>4.1489037758830616E-3</v>
      </c>
      <c r="F834" s="74">
        <v>45658</v>
      </c>
      <c r="G834" s="40">
        <v>1882.5</v>
      </c>
      <c r="H834">
        <f t="shared" si="25"/>
        <v>1.3297872340425343E-3</v>
      </c>
    </row>
    <row r="835" spans="2:8" x14ac:dyDescent="0.35">
      <c r="B835" s="74">
        <v>45659</v>
      </c>
      <c r="C835">
        <v>24188.65</v>
      </c>
      <c r="D835" s="64">
        <f t="shared" si="24"/>
        <v>1.8774033500541298E-2</v>
      </c>
      <c r="F835" s="74">
        <v>45659</v>
      </c>
      <c r="G835" s="40">
        <v>1957.85</v>
      </c>
      <c r="H835">
        <f t="shared" si="25"/>
        <v>4.0026560424966773E-2</v>
      </c>
    </row>
    <row r="836" spans="2:8" x14ac:dyDescent="0.35">
      <c r="B836" s="74">
        <v>45660</v>
      </c>
      <c r="C836">
        <v>24004.75</v>
      </c>
      <c r="D836" s="64">
        <f t="shared" si="24"/>
        <v>-7.6027393012839672E-3</v>
      </c>
      <c r="F836" s="74">
        <v>45660</v>
      </c>
      <c r="G836" s="40">
        <v>1938.75</v>
      </c>
      <c r="H836">
        <f t="shared" si="25"/>
        <v>-9.755599254284042E-3</v>
      </c>
    </row>
    <row r="837" spans="2:8" x14ac:dyDescent="0.35">
      <c r="B837" s="74">
        <v>45663</v>
      </c>
      <c r="C837">
        <v>23616.05</v>
      </c>
      <c r="D837" s="64">
        <f t="shared" si="24"/>
        <v>-1.6192628542267662E-2</v>
      </c>
      <c r="F837" s="74">
        <v>45663</v>
      </c>
      <c r="G837" s="40">
        <v>1937.85</v>
      </c>
      <c r="H837">
        <f t="shared" si="25"/>
        <v>-4.6421663442941519E-4</v>
      </c>
    </row>
    <row r="838" spans="2:8" x14ac:dyDescent="0.35">
      <c r="B838" s="74">
        <v>45664</v>
      </c>
      <c r="C838">
        <v>23707.9</v>
      </c>
      <c r="D838" s="64">
        <f t="shared" si="24"/>
        <v>3.8893040961549552E-3</v>
      </c>
      <c r="F838" s="74">
        <v>45664</v>
      </c>
      <c r="G838" s="40">
        <v>1930.85</v>
      </c>
      <c r="H838">
        <f t="shared" si="25"/>
        <v>-3.6122506901978824E-3</v>
      </c>
    </row>
    <row r="839" spans="2:8" x14ac:dyDescent="0.35">
      <c r="B839" s="74">
        <v>45665</v>
      </c>
      <c r="C839">
        <v>23688.95</v>
      </c>
      <c r="D839" s="64">
        <f t="shared" ref="D839:D902" si="26">C839/C838-1</f>
        <v>-7.9931162186441806E-4</v>
      </c>
      <c r="F839" s="74">
        <v>45665</v>
      </c>
      <c r="G839" s="40">
        <v>1933.15</v>
      </c>
      <c r="H839">
        <f t="shared" ref="H839:H902" si="27">G839/G838-1</f>
        <v>1.1911852293031711E-3</v>
      </c>
    </row>
    <row r="840" spans="2:8" x14ac:dyDescent="0.35">
      <c r="B840" s="74">
        <v>45666</v>
      </c>
      <c r="C840">
        <v>23526.5</v>
      </c>
      <c r="D840" s="64">
        <f t="shared" si="26"/>
        <v>-6.8576277124988705E-3</v>
      </c>
      <c r="F840" s="74">
        <v>45666</v>
      </c>
      <c r="G840" s="40">
        <v>1917.3</v>
      </c>
      <c r="H840">
        <f t="shared" si="27"/>
        <v>-8.1990533585082348E-3</v>
      </c>
    </row>
    <row r="841" spans="2:8" x14ac:dyDescent="0.35">
      <c r="B841" s="74">
        <v>45667</v>
      </c>
      <c r="C841">
        <v>23431.5</v>
      </c>
      <c r="D841" s="64">
        <f t="shared" si="26"/>
        <v>-4.037999702463213E-3</v>
      </c>
      <c r="F841" s="74">
        <v>45667</v>
      </c>
      <c r="G841" s="40">
        <v>1966.95</v>
      </c>
      <c r="H841">
        <f t="shared" si="27"/>
        <v>2.5895790956032005E-2</v>
      </c>
    </row>
    <row r="842" spans="2:8" x14ac:dyDescent="0.35">
      <c r="B842" s="74">
        <v>45670</v>
      </c>
      <c r="C842">
        <v>23085.95</v>
      </c>
      <c r="D842" s="64">
        <f t="shared" si="26"/>
        <v>-1.4747241960608504E-2</v>
      </c>
      <c r="F842" s="74">
        <v>45670</v>
      </c>
      <c r="G842" s="40">
        <v>1962.2</v>
      </c>
      <c r="H842">
        <f t="shared" si="27"/>
        <v>-2.4149063270545446E-3</v>
      </c>
    </row>
    <row r="843" spans="2:8" x14ac:dyDescent="0.35">
      <c r="B843" s="74">
        <v>45671</v>
      </c>
      <c r="C843">
        <v>23176.05</v>
      </c>
      <c r="D843" s="64">
        <f t="shared" si="26"/>
        <v>3.9028066854513987E-3</v>
      </c>
      <c r="F843" s="74">
        <v>45671</v>
      </c>
      <c r="G843" s="40">
        <v>1940.05</v>
      </c>
      <c r="H843">
        <f t="shared" si="27"/>
        <v>-1.1288349811436227E-2</v>
      </c>
    </row>
    <row r="844" spans="2:8" x14ac:dyDescent="0.35">
      <c r="B844" s="74">
        <v>45672</v>
      </c>
      <c r="C844">
        <v>23213.200000000001</v>
      </c>
      <c r="D844" s="64">
        <f t="shared" si="26"/>
        <v>1.6029478707546563E-3</v>
      </c>
      <c r="F844" s="74">
        <v>45672</v>
      </c>
      <c r="G844" s="40">
        <v>1949.65</v>
      </c>
      <c r="H844">
        <f t="shared" si="27"/>
        <v>4.9483260740703638E-3</v>
      </c>
    </row>
    <row r="845" spans="2:8" x14ac:dyDescent="0.35">
      <c r="B845" s="74">
        <v>45673</v>
      </c>
      <c r="C845">
        <v>23311.8</v>
      </c>
      <c r="D845" s="64">
        <f t="shared" si="26"/>
        <v>4.2475832715866968E-3</v>
      </c>
      <c r="F845" s="74">
        <v>45673</v>
      </c>
      <c r="G845" s="40">
        <v>1928.45</v>
      </c>
      <c r="H845">
        <f t="shared" si="27"/>
        <v>-1.0873746569897147E-2</v>
      </c>
    </row>
    <row r="846" spans="2:8" x14ac:dyDescent="0.35">
      <c r="B846" s="74">
        <v>45674</v>
      </c>
      <c r="C846">
        <v>23203.200000000001</v>
      </c>
      <c r="D846" s="64">
        <f t="shared" si="26"/>
        <v>-4.6585849226571385E-3</v>
      </c>
      <c r="F846" s="74">
        <v>45674</v>
      </c>
      <c r="G846" s="40">
        <v>1815.45</v>
      </c>
      <c r="H846">
        <f t="shared" si="27"/>
        <v>-5.8596281988125165E-2</v>
      </c>
    </row>
    <row r="847" spans="2:8" x14ac:dyDescent="0.35">
      <c r="B847" s="74">
        <v>45677</v>
      </c>
      <c r="C847">
        <v>23344.75</v>
      </c>
      <c r="D847" s="64">
        <f t="shared" si="26"/>
        <v>6.1004516618397009E-3</v>
      </c>
      <c r="F847" s="74">
        <v>45677</v>
      </c>
      <c r="G847" s="40">
        <v>1813.3</v>
      </c>
      <c r="H847">
        <f t="shared" si="27"/>
        <v>-1.1842793797681717E-3</v>
      </c>
    </row>
    <row r="848" spans="2:8" x14ac:dyDescent="0.35">
      <c r="B848" s="74">
        <v>45678</v>
      </c>
      <c r="C848">
        <v>23024.65</v>
      </c>
      <c r="D848" s="64">
        <f t="shared" si="26"/>
        <v>-1.3711862410177855E-2</v>
      </c>
      <c r="F848" s="74">
        <v>45678</v>
      </c>
      <c r="G848" s="40">
        <v>1800.7</v>
      </c>
      <c r="H848">
        <f t="shared" si="27"/>
        <v>-6.9486571444327128E-3</v>
      </c>
    </row>
    <row r="849" spans="2:8" x14ac:dyDescent="0.35">
      <c r="B849" s="74">
        <v>45679</v>
      </c>
      <c r="C849">
        <v>23155.35</v>
      </c>
      <c r="D849" s="64">
        <f t="shared" si="26"/>
        <v>5.6765249417471964E-3</v>
      </c>
      <c r="F849" s="74">
        <v>45679</v>
      </c>
      <c r="G849" s="40">
        <v>1856.45</v>
      </c>
      <c r="H849">
        <f t="shared" si="27"/>
        <v>3.0960182151385629E-2</v>
      </c>
    </row>
    <row r="850" spans="2:8" x14ac:dyDescent="0.35">
      <c r="B850" s="74">
        <v>45680</v>
      </c>
      <c r="C850">
        <v>23205.35</v>
      </c>
      <c r="D850" s="64">
        <f t="shared" si="26"/>
        <v>2.1593281898135697E-3</v>
      </c>
      <c r="F850" s="74">
        <v>45680</v>
      </c>
      <c r="G850" s="40">
        <v>1865.45</v>
      </c>
      <c r="H850">
        <f t="shared" si="27"/>
        <v>4.8479625090900313E-3</v>
      </c>
    </row>
    <row r="851" spans="2:8" x14ac:dyDescent="0.35">
      <c r="B851" s="74">
        <v>45681</v>
      </c>
      <c r="C851">
        <v>23092.2</v>
      </c>
      <c r="D851" s="64">
        <f t="shared" si="26"/>
        <v>-4.876030742910431E-3</v>
      </c>
      <c r="F851" s="74">
        <v>45681</v>
      </c>
      <c r="G851" s="40">
        <v>1875.45</v>
      </c>
      <c r="H851">
        <f t="shared" si="27"/>
        <v>5.3606368436569518E-3</v>
      </c>
    </row>
    <row r="852" spans="2:8" x14ac:dyDescent="0.35">
      <c r="B852" s="74">
        <v>45684</v>
      </c>
      <c r="C852">
        <v>22829.15</v>
      </c>
      <c r="D852" s="64">
        <f t="shared" si="26"/>
        <v>-1.139129229783209E-2</v>
      </c>
      <c r="F852" s="74">
        <v>45684</v>
      </c>
      <c r="G852" s="40">
        <v>1822</v>
      </c>
      <c r="H852">
        <f t="shared" si="27"/>
        <v>-2.8499826708256681E-2</v>
      </c>
    </row>
    <row r="853" spans="2:8" x14ac:dyDescent="0.35">
      <c r="B853" s="74">
        <v>45685</v>
      </c>
      <c r="C853">
        <v>22957.25</v>
      </c>
      <c r="D853" s="64">
        <f t="shared" si="26"/>
        <v>5.6112470240896606E-3</v>
      </c>
      <c r="F853" s="74">
        <v>45685</v>
      </c>
      <c r="G853" s="40">
        <v>1829.75</v>
      </c>
      <c r="H853">
        <f t="shared" si="27"/>
        <v>4.2535675082326918E-3</v>
      </c>
    </row>
    <row r="854" spans="2:8" x14ac:dyDescent="0.35">
      <c r="B854" s="74">
        <v>45686</v>
      </c>
      <c r="C854">
        <v>23163.1</v>
      </c>
      <c r="D854" s="64">
        <f t="shared" si="26"/>
        <v>8.9666663036731542E-3</v>
      </c>
      <c r="F854" s="74">
        <v>45686</v>
      </c>
      <c r="G854" s="40">
        <v>1881.25</v>
      </c>
      <c r="H854">
        <f t="shared" si="27"/>
        <v>2.8145921573985433E-2</v>
      </c>
    </row>
    <row r="855" spans="2:8" x14ac:dyDescent="0.35">
      <c r="B855" s="74">
        <v>45687</v>
      </c>
      <c r="C855">
        <v>23249.5</v>
      </c>
      <c r="D855" s="64">
        <f t="shared" si="26"/>
        <v>3.7300706727512178E-3</v>
      </c>
      <c r="F855" s="74">
        <v>45687</v>
      </c>
      <c r="G855" s="40">
        <v>1859.95</v>
      </c>
      <c r="H855">
        <f t="shared" si="27"/>
        <v>-1.1322259136212653E-2</v>
      </c>
    </row>
    <row r="856" spans="2:8" x14ac:dyDescent="0.35">
      <c r="B856" s="74">
        <v>45688</v>
      </c>
      <c r="C856">
        <v>23508.400000000001</v>
      </c>
      <c r="D856" s="64">
        <f t="shared" si="26"/>
        <v>1.1135723348889348E-2</v>
      </c>
      <c r="F856" s="74">
        <v>45688</v>
      </c>
      <c r="G856" s="40">
        <v>1879.8</v>
      </c>
      <c r="H856">
        <f t="shared" si="27"/>
        <v>1.0672329901341371E-2</v>
      </c>
    </row>
    <row r="857" spans="2:8" x14ac:dyDescent="0.35">
      <c r="B857" s="74">
        <v>45689</v>
      </c>
      <c r="C857">
        <v>23482.15</v>
      </c>
      <c r="D857" s="64">
        <f t="shared" si="26"/>
        <v>-1.1166221435742196E-3</v>
      </c>
      <c r="F857" s="74">
        <v>45689</v>
      </c>
      <c r="G857" s="40">
        <v>1851.35</v>
      </c>
      <c r="H857">
        <f t="shared" si="27"/>
        <v>-1.5134588786041125E-2</v>
      </c>
    </row>
    <row r="858" spans="2:8" x14ac:dyDescent="0.35">
      <c r="B858" s="74">
        <v>45691</v>
      </c>
      <c r="C858">
        <v>23361.05</v>
      </c>
      <c r="D858" s="64">
        <f t="shared" si="26"/>
        <v>-5.1571086974575575E-3</v>
      </c>
      <c r="F858" s="74">
        <v>45691</v>
      </c>
      <c r="G858" s="40">
        <v>1863.3</v>
      </c>
      <c r="H858">
        <f t="shared" si="27"/>
        <v>6.4547492370432558E-3</v>
      </c>
    </row>
    <row r="859" spans="2:8" x14ac:dyDescent="0.35">
      <c r="B859" s="74">
        <v>45692</v>
      </c>
      <c r="C859">
        <v>23739.25</v>
      </c>
      <c r="D859" s="64">
        <f t="shared" si="26"/>
        <v>1.6189340804458663E-2</v>
      </c>
      <c r="F859" s="74">
        <v>45692</v>
      </c>
      <c r="G859" s="40">
        <v>1898.8</v>
      </c>
      <c r="H859">
        <f t="shared" si="27"/>
        <v>1.9052219181022956E-2</v>
      </c>
    </row>
    <row r="860" spans="2:8" x14ac:dyDescent="0.35">
      <c r="B860" s="74">
        <v>45693</v>
      </c>
      <c r="C860">
        <v>23696.3</v>
      </c>
      <c r="D860" s="64">
        <f t="shared" si="26"/>
        <v>-1.8092399717767327E-3</v>
      </c>
      <c r="F860" s="74">
        <v>45693</v>
      </c>
      <c r="G860" s="40">
        <v>1897.05</v>
      </c>
      <c r="H860">
        <f t="shared" si="27"/>
        <v>-9.2163471666317776E-4</v>
      </c>
    </row>
    <row r="861" spans="2:8" x14ac:dyDescent="0.35">
      <c r="B861" s="74">
        <v>45694</v>
      </c>
      <c r="C861">
        <v>23603.35</v>
      </c>
      <c r="D861" s="64">
        <f t="shared" si="26"/>
        <v>-3.922553310010457E-3</v>
      </c>
      <c r="F861" s="74">
        <v>45694</v>
      </c>
      <c r="G861" s="40">
        <v>1915.65</v>
      </c>
      <c r="H861">
        <f t="shared" si="27"/>
        <v>9.8046967660314621E-3</v>
      </c>
    </row>
    <row r="862" spans="2:8" x14ac:dyDescent="0.35">
      <c r="B862" s="74">
        <v>45695</v>
      </c>
      <c r="C862">
        <v>23559.95</v>
      </c>
      <c r="D862" s="64">
        <f t="shared" si="26"/>
        <v>-1.8387220458111475E-3</v>
      </c>
      <c r="F862" s="74">
        <v>45695</v>
      </c>
      <c r="G862" s="40">
        <v>1903.65</v>
      </c>
      <c r="H862">
        <f t="shared" si="27"/>
        <v>-6.2641923107039643E-3</v>
      </c>
    </row>
    <row r="863" spans="2:8" x14ac:dyDescent="0.35">
      <c r="B863" s="74">
        <v>45698</v>
      </c>
      <c r="C863">
        <v>23381.599999999999</v>
      </c>
      <c r="D863" s="64">
        <f t="shared" si="26"/>
        <v>-7.5700500213287114E-3</v>
      </c>
      <c r="F863" s="74">
        <v>45698</v>
      </c>
      <c r="G863" s="40">
        <v>1880.3</v>
      </c>
      <c r="H863">
        <f t="shared" si="27"/>
        <v>-1.2265910225093934E-2</v>
      </c>
    </row>
    <row r="864" spans="2:8" x14ac:dyDescent="0.35">
      <c r="B864" s="74">
        <v>45699</v>
      </c>
      <c r="C864">
        <v>23071.8</v>
      </c>
      <c r="D864" s="64">
        <f t="shared" si="26"/>
        <v>-1.3249734834228644E-2</v>
      </c>
      <c r="F864" s="74">
        <v>45699</v>
      </c>
      <c r="G864" s="40">
        <v>1875.65</v>
      </c>
      <c r="H864">
        <f t="shared" si="27"/>
        <v>-2.4730096261234014E-3</v>
      </c>
    </row>
    <row r="865" spans="2:8" x14ac:dyDescent="0.35">
      <c r="B865" s="74">
        <v>45700</v>
      </c>
      <c r="C865">
        <v>23045.25</v>
      </c>
      <c r="D865" s="64">
        <f t="shared" si="26"/>
        <v>-1.1507554677138154E-3</v>
      </c>
      <c r="F865" s="74">
        <v>45700</v>
      </c>
      <c r="G865" s="40">
        <v>1863.15</v>
      </c>
      <c r="H865">
        <f t="shared" si="27"/>
        <v>-6.6643563564631192E-3</v>
      </c>
    </row>
    <row r="866" spans="2:8" x14ac:dyDescent="0.35">
      <c r="B866" s="74">
        <v>45701</v>
      </c>
      <c r="C866">
        <v>23031.4</v>
      </c>
      <c r="D866" s="64">
        <f t="shared" si="26"/>
        <v>-6.0099152753811946E-4</v>
      </c>
      <c r="F866" s="74">
        <v>45701</v>
      </c>
      <c r="G866" s="40">
        <v>1843.25</v>
      </c>
      <c r="H866">
        <f t="shared" si="27"/>
        <v>-1.068083621823257E-2</v>
      </c>
    </row>
    <row r="867" spans="2:8" x14ac:dyDescent="0.35">
      <c r="B867" s="74">
        <v>45702</v>
      </c>
      <c r="C867">
        <v>22929.25</v>
      </c>
      <c r="D867" s="64">
        <f t="shared" si="26"/>
        <v>-4.4352492683902289E-3</v>
      </c>
      <c r="F867" s="74">
        <v>45702</v>
      </c>
      <c r="G867" s="40">
        <v>1856.4</v>
      </c>
      <c r="H867">
        <f t="shared" si="27"/>
        <v>7.1341380713414448E-3</v>
      </c>
    </row>
    <row r="868" spans="2:8" x14ac:dyDescent="0.35">
      <c r="B868" s="74">
        <v>45705</v>
      </c>
      <c r="C868">
        <v>22959.5</v>
      </c>
      <c r="D868" s="64">
        <f t="shared" si="26"/>
        <v>1.3192755977626813E-3</v>
      </c>
      <c r="F868" s="74">
        <v>45705</v>
      </c>
      <c r="G868" s="40">
        <v>1842.3</v>
      </c>
      <c r="H868">
        <f t="shared" si="27"/>
        <v>-7.5953458306400323E-3</v>
      </c>
    </row>
    <row r="869" spans="2:8" x14ac:dyDescent="0.35">
      <c r="B869" s="74">
        <v>45706</v>
      </c>
      <c r="C869">
        <v>22945.3</v>
      </c>
      <c r="D869" s="64">
        <f t="shared" si="26"/>
        <v>-6.1848036760381309E-4</v>
      </c>
      <c r="F869" s="74">
        <v>45706</v>
      </c>
      <c r="G869" s="40">
        <v>1851.95</v>
      </c>
      <c r="H869">
        <f t="shared" si="27"/>
        <v>5.2380176952722124E-3</v>
      </c>
    </row>
    <row r="870" spans="2:8" x14ac:dyDescent="0.35">
      <c r="B870" s="74">
        <v>45707</v>
      </c>
      <c r="C870">
        <v>22932.9</v>
      </c>
      <c r="D870" s="64">
        <f t="shared" si="26"/>
        <v>-5.4041568425766684E-4</v>
      </c>
      <c r="F870" s="74">
        <v>45707</v>
      </c>
      <c r="G870" s="40">
        <v>1810.8</v>
      </c>
      <c r="H870">
        <f t="shared" si="27"/>
        <v>-2.2219822349415552E-2</v>
      </c>
    </row>
    <row r="871" spans="2:8" x14ac:dyDescent="0.35">
      <c r="B871" s="74">
        <v>45708</v>
      </c>
      <c r="C871">
        <v>22913.15</v>
      </c>
      <c r="D871" s="64">
        <f t="shared" si="26"/>
        <v>-8.6120813329326751E-4</v>
      </c>
      <c r="F871" s="74">
        <v>45708</v>
      </c>
      <c r="G871" s="40">
        <v>1825.15</v>
      </c>
      <c r="H871">
        <f t="shared" si="27"/>
        <v>7.9246741771592522E-3</v>
      </c>
    </row>
    <row r="872" spans="2:8" x14ac:dyDescent="0.35">
      <c r="B872" s="74">
        <v>45709</v>
      </c>
      <c r="C872">
        <v>22795.9</v>
      </c>
      <c r="D872" s="64">
        <f t="shared" si="26"/>
        <v>-5.1171488861200265E-3</v>
      </c>
      <c r="F872" s="74">
        <v>45709</v>
      </c>
      <c r="G872" s="40">
        <v>1815</v>
      </c>
      <c r="H872">
        <f t="shared" si="27"/>
        <v>-5.5611867517738611E-3</v>
      </c>
    </row>
    <row r="873" spans="2:8" x14ac:dyDescent="0.35">
      <c r="B873" s="74">
        <v>45712</v>
      </c>
      <c r="C873">
        <v>22553.35</v>
      </c>
      <c r="D873" s="64">
        <f t="shared" si="26"/>
        <v>-1.0640071240881177E-2</v>
      </c>
      <c r="F873" s="74">
        <v>45712</v>
      </c>
      <c r="G873" s="40">
        <v>1764.1</v>
      </c>
      <c r="H873">
        <f t="shared" si="27"/>
        <v>-2.8044077134986245E-2</v>
      </c>
    </row>
    <row r="874" spans="2:8" x14ac:dyDescent="0.35">
      <c r="B874" s="74">
        <v>45713</v>
      </c>
      <c r="C874">
        <v>22547.55</v>
      </c>
      <c r="D874" s="64">
        <f t="shared" si="26"/>
        <v>-2.5716800386632599E-4</v>
      </c>
      <c r="F874" s="74">
        <v>45713</v>
      </c>
      <c r="G874" s="40">
        <v>1767.7</v>
      </c>
      <c r="H874">
        <f t="shared" si="27"/>
        <v>2.0407006405533945E-3</v>
      </c>
    </row>
    <row r="875" spans="2:8" x14ac:dyDescent="0.35">
      <c r="B875" s="74">
        <v>45715</v>
      </c>
      <c r="C875">
        <v>22545.05</v>
      </c>
      <c r="D875" s="64">
        <f t="shared" si="26"/>
        <v>-1.1087679149179852E-4</v>
      </c>
      <c r="F875" s="74">
        <v>45715</v>
      </c>
      <c r="G875" s="40">
        <v>1764.3</v>
      </c>
      <c r="H875">
        <f t="shared" si="27"/>
        <v>-1.9234032924139166E-3</v>
      </c>
    </row>
    <row r="876" spans="2:8" x14ac:dyDescent="0.35">
      <c r="B876" s="74">
        <v>45716</v>
      </c>
      <c r="C876">
        <v>22124.7</v>
      </c>
      <c r="D876" s="64">
        <f t="shared" si="26"/>
        <v>-1.8644891007116748E-2</v>
      </c>
      <c r="F876" s="74">
        <v>45716</v>
      </c>
      <c r="G876" s="40">
        <v>1687.7</v>
      </c>
      <c r="H876">
        <f t="shared" si="27"/>
        <v>-4.3416652496740871E-2</v>
      </c>
    </row>
    <row r="877" spans="2:8" x14ac:dyDescent="0.35">
      <c r="B877" s="74">
        <v>45719</v>
      </c>
      <c r="C877">
        <v>22119.3</v>
      </c>
      <c r="D877" s="64">
        <f t="shared" si="26"/>
        <v>-2.4407110604895976E-4</v>
      </c>
      <c r="F877" s="74">
        <v>45719</v>
      </c>
      <c r="G877" s="40">
        <v>1708.6</v>
      </c>
      <c r="H877">
        <f t="shared" si="27"/>
        <v>1.2383717485334955E-2</v>
      </c>
    </row>
    <row r="878" spans="2:8" x14ac:dyDescent="0.35">
      <c r="B878" s="74">
        <v>45720</v>
      </c>
      <c r="C878">
        <v>22082.65</v>
      </c>
      <c r="D878" s="64">
        <f t="shared" si="26"/>
        <v>-1.6569240437083188E-3</v>
      </c>
      <c r="F878" s="74">
        <v>45720</v>
      </c>
      <c r="G878" s="40">
        <v>1688.3</v>
      </c>
      <c r="H878">
        <f t="shared" si="27"/>
        <v>-1.1881072222872491E-2</v>
      </c>
    </row>
    <row r="879" spans="2:8" x14ac:dyDescent="0.35">
      <c r="B879" s="74">
        <v>45721</v>
      </c>
      <c r="C879">
        <v>22337.3</v>
      </c>
      <c r="D879" s="64">
        <f t="shared" si="26"/>
        <v>1.1531677583985545E-2</v>
      </c>
      <c r="F879" s="74">
        <v>45721</v>
      </c>
      <c r="G879" s="40">
        <v>1711.5</v>
      </c>
      <c r="H879">
        <f t="shared" si="27"/>
        <v>1.374163359592484E-2</v>
      </c>
    </row>
    <row r="880" spans="2:8" x14ac:dyDescent="0.35">
      <c r="B880" s="74">
        <v>45722</v>
      </c>
      <c r="C880">
        <v>22544.7</v>
      </c>
      <c r="D880" s="64">
        <f t="shared" si="26"/>
        <v>9.2849180518683738E-3</v>
      </c>
      <c r="F880" s="74">
        <v>45722</v>
      </c>
      <c r="G880" s="40">
        <v>1715.85</v>
      </c>
      <c r="H880">
        <f t="shared" si="27"/>
        <v>2.5416301489920023E-3</v>
      </c>
    </row>
    <row r="881" spans="2:8" x14ac:dyDescent="0.35">
      <c r="B881" s="74">
        <v>45723</v>
      </c>
      <c r="C881">
        <v>22552.5</v>
      </c>
      <c r="D881" s="64">
        <f t="shared" si="26"/>
        <v>3.459793210820461E-4</v>
      </c>
      <c r="F881" s="74">
        <v>45723</v>
      </c>
      <c r="G881" s="40">
        <v>1686</v>
      </c>
      <c r="H881">
        <f t="shared" si="27"/>
        <v>-1.7396625579158997E-2</v>
      </c>
    </row>
    <row r="882" spans="2:8" x14ac:dyDescent="0.35">
      <c r="B882" s="74">
        <v>45726</v>
      </c>
      <c r="C882">
        <v>22460.3</v>
      </c>
      <c r="D882" s="64">
        <f t="shared" si="26"/>
        <v>-4.0882385544840361E-3</v>
      </c>
      <c r="F882" s="74">
        <v>45726</v>
      </c>
      <c r="G882" s="40">
        <v>1701.45</v>
      </c>
      <c r="H882">
        <f t="shared" si="27"/>
        <v>9.1637010676157704E-3</v>
      </c>
    </row>
    <row r="883" spans="2:8" x14ac:dyDescent="0.35">
      <c r="B883" s="74">
        <v>45727</v>
      </c>
      <c r="C883">
        <v>22497.9</v>
      </c>
      <c r="D883" s="64">
        <f t="shared" si="26"/>
        <v>1.6740649056334878E-3</v>
      </c>
      <c r="F883" s="74">
        <v>45727</v>
      </c>
      <c r="G883" s="40">
        <v>1661.6</v>
      </c>
      <c r="H883">
        <f t="shared" si="27"/>
        <v>-2.3421199565076933E-2</v>
      </c>
    </row>
    <row r="884" spans="2:8" x14ac:dyDescent="0.35">
      <c r="B884" s="74">
        <v>45728</v>
      </c>
      <c r="C884">
        <v>22470.5</v>
      </c>
      <c r="D884" s="64">
        <f t="shared" si="26"/>
        <v>-1.2178914476462799E-3</v>
      </c>
      <c r="F884" s="74">
        <v>45728</v>
      </c>
      <c r="G884" s="40">
        <v>1590.85</v>
      </c>
      <c r="H884">
        <f t="shared" si="27"/>
        <v>-4.2579441502166637E-2</v>
      </c>
    </row>
    <row r="885" spans="2:8" x14ac:dyDescent="0.35">
      <c r="B885" s="74">
        <v>45729</v>
      </c>
      <c r="C885">
        <v>22397.200000000001</v>
      </c>
      <c r="D885" s="64">
        <f t="shared" si="26"/>
        <v>-3.2620546939320372E-3</v>
      </c>
      <c r="F885" s="74">
        <v>45729</v>
      </c>
      <c r="G885" s="40">
        <v>1579.85</v>
      </c>
      <c r="H885">
        <f t="shared" si="27"/>
        <v>-6.9145425401514471E-3</v>
      </c>
    </row>
    <row r="886" spans="2:8" x14ac:dyDescent="0.35">
      <c r="B886" s="74">
        <v>45733</v>
      </c>
      <c r="C886">
        <v>22508.75</v>
      </c>
      <c r="D886" s="64">
        <f t="shared" si="26"/>
        <v>4.9805332809458314E-3</v>
      </c>
      <c r="F886" s="74">
        <v>45733</v>
      </c>
      <c r="G886" s="40">
        <v>1590.05</v>
      </c>
      <c r="H886">
        <f t="shared" si="27"/>
        <v>6.45630914327322E-3</v>
      </c>
    </row>
    <row r="887" spans="2:8" x14ac:dyDescent="0.35">
      <c r="B887" s="74">
        <v>45734</v>
      </c>
      <c r="C887">
        <v>22834.3</v>
      </c>
      <c r="D887" s="64">
        <f t="shared" si="26"/>
        <v>1.4463264286110888E-2</v>
      </c>
      <c r="F887" s="74">
        <v>45734</v>
      </c>
      <c r="G887" s="40">
        <v>1609.35</v>
      </c>
      <c r="H887">
        <f t="shared" si="27"/>
        <v>1.2137983082292969E-2</v>
      </c>
    </row>
    <row r="888" spans="2:8" x14ac:dyDescent="0.35">
      <c r="B888" s="74">
        <v>45735</v>
      </c>
      <c r="C888">
        <v>22907.599999999999</v>
      </c>
      <c r="D888" s="64">
        <f t="shared" si="26"/>
        <v>3.2100830767747279E-3</v>
      </c>
      <c r="F888" s="74">
        <v>45735</v>
      </c>
      <c r="G888" s="40">
        <v>1586.55</v>
      </c>
      <c r="H888">
        <f t="shared" si="27"/>
        <v>-1.4167210364432803E-2</v>
      </c>
    </row>
    <row r="889" spans="2:8" x14ac:dyDescent="0.35">
      <c r="B889" s="74">
        <v>45736</v>
      </c>
      <c r="C889">
        <v>23190.65</v>
      </c>
      <c r="D889" s="64">
        <f t="shared" si="26"/>
        <v>1.2356161273987754E-2</v>
      </c>
      <c r="F889" s="74">
        <v>45736</v>
      </c>
      <c r="G889" s="40">
        <v>1615.55</v>
      </c>
      <c r="H889">
        <f t="shared" si="27"/>
        <v>1.8278654943115535E-2</v>
      </c>
    </row>
    <row r="890" spans="2:8" x14ac:dyDescent="0.35">
      <c r="B890" s="74">
        <v>45737</v>
      </c>
      <c r="C890">
        <v>23350.400000000001</v>
      </c>
      <c r="D890" s="64">
        <f t="shared" si="26"/>
        <v>6.8885520673203082E-3</v>
      </c>
      <c r="F890" s="74">
        <v>45737</v>
      </c>
      <c r="G890" s="40">
        <v>1592.55</v>
      </c>
      <c r="H890">
        <f t="shared" si="27"/>
        <v>-1.4236637677571107E-2</v>
      </c>
    </row>
    <row r="891" spans="2:8" x14ac:dyDescent="0.35">
      <c r="B891" s="74">
        <v>45740</v>
      </c>
      <c r="C891">
        <v>23658.35</v>
      </c>
      <c r="D891" s="64">
        <f t="shared" si="26"/>
        <v>1.3188210908592346E-2</v>
      </c>
      <c r="F891" s="74">
        <v>45740</v>
      </c>
      <c r="G891" s="40">
        <v>1592.75</v>
      </c>
      <c r="H891">
        <f t="shared" si="27"/>
        <v>1.2558475401092117E-4</v>
      </c>
    </row>
    <row r="892" spans="2:8" x14ac:dyDescent="0.35">
      <c r="B892" s="74">
        <v>45741</v>
      </c>
      <c r="C892">
        <v>23668.65</v>
      </c>
      <c r="D892" s="64">
        <f t="shared" si="26"/>
        <v>4.353642582852757E-4</v>
      </c>
      <c r="F892" s="74">
        <v>45741</v>
      </c>
      <c r="G892" s="40">
        <v>1628.45</v>
      </c>
      <c r="H892">
        <f t="shared" si="27"/>
        <v>2.2414063726259537E-2</v>
      </c>
    </row>
    <row r="893" spans="2:8" x14ac:dyDescent="0.35">
      <c r="B893" s="74">
        <v>45742</v>
      </c>
      <c r="C893">
        <v>23486.85</v>
      </c>
      <c r="D893" s="64">
        <f t="shared" si="26"/>
        <v>-7.6810464475161044E-3</v>
      </c>
      <c r="F893" s="74">
        <v>45742</v>
      </c>
      <c r="G893" s="40">
        <v>1599.45</v>
      </c>
      <c r="H893">
        <f t="shared" si="27"/>
        <v>-1.7808345359083821E-2</v>
      </c>
    </row>
    <row r="894" spans="2:8" x14ac:dyDescent="0.35">
      <c r="B894" s="74">
        <v>45743</v>
      </c>
      <c r="C894">
        <v>23591.95</v>
      </c>
      <c r="D894" s="64">
        <f t="shared" si="26"/>
        <v>4.4748444342259663E-3</v>
      </c>
      <c r="F894" s="74">
        <v>45743</v>
      </c>
      <c r="G894" s="40">
        <v>1603.55</v>
      </c>
      <c r="H894">
        <f t="shared" si="27"/>
        <v>2.5633811622745029E-3</v>
      </c>
    </row>
    <row r="895" spans="2:8" x14ac:dyDescent="0.35">
      <c r="B895" s="74">
        <v>45744</v>
      </c>
      <c r="C895">
        <v>23519.35</v>
      </c>
      <c r="D895" s="64">
        <f t="shared" si="26"/>
        <v>-3.0773208658039231E-3</v>
      </c>
      <c r="F895" s="74">
        <v>45744</v>
      </c>
      <c r="G895" s="40">
        <v>1570.65</v>
      </c>
      <c r="H895">
        <f t="shared" si="27"/>
        <v>-2.0516977955161941E-2</v>
      </c>
    </row>
    <row r="896" spans="2:8" x14ac:dyDescent="0.35">
      <c r="B896" s="74">
        <v>45748</v>
      </c>
      <c r="C896">
        <v>23165.7</v>
      </c>
      <c r="D896" s="64">
        <f t="shared" si="26"/>
        <v>-1.5036555006834651E-2</v>
      </c>
      <c r="F896" s="74">
        <v>45748</v>
      </c>
      <c r="G896" s="40">
        <v>1526.5</v>
      </c>
      <c r="H896">
        <f t="shared" si="27"/>
        <v>-2.8109381466271954E-2</v>
      </c>
    </row>
    <row r="897" spans="2:8" x14ac:dyDescent="0.35">
      <c r="B897" s="74">
        <v>45749</v>
      </c>
      <c r="C897">
        <v>23332.35</v>
      </c>
      <c r="D897" s="64">
        <f t="shared" si="26"/>
        <v>7.1938253538634811E-3</v>
      </c>
      <c r="F897" s="74">
        <v>45749</v>
      </c>
      <c r="G897" s="40">
        <v>1550.15</v>
      </c>
      <c r="H897">
        <f t="shared" si="27"/>
        <v>1.5492957746478853E-2</v>
      </c>
    </row>
    <row r="898" spans="2:8" x14ac:dyDescent="0.35">
      <c r="B898" s="74">
        <v>45750</v>
      </c>
      <c r="C898">
        <v>23250.1</v>
      </c>
      <c r="D898" s="64">
        <f t="shared" si="26"/>
        <v>-3.5251485598322141E-3</v>
      </c>
      <c r="F898" s="74">
        <v>45750</v>
      </c>
      <c r="G898" s="40">
        <v>1496.5</v>
      </c>
      <c r="H898">
        <f t="shared" si="27"/>
        <v>-3.4609553914137448E-2</v>
      </c>
    </row>
    <row r="899" spans="2:8" x14ac:dyDescent="0.35">
      <c r="B899" s="74">
        <v>45751</v>
      </c>
      <c r="C899">
        <v>22904.45</v>
      </c>
      <c r="D899" s="64">
        <f t="shared" si="26"/>
        <v>-1.4866602724289302E-2</v>
      </c>
      <c r="F899" s="74">
        <v>45751</v>
      </c>
      <c r="G899" s="40">
        <v>1451.65</v>
      </c>
      <c r="H899">
        <f t="shared" si="27"/>
        <v>-2.9969929836284659E-2</v>
      </c>
    </row>
    <row r="900" spans="2:8" x14ac:dyDescent="0.35">
      <c r="B900" s="74">
        <v>45754</v>
      </c>
      <c r="C900">
        <v>22161.599999999999</v>
      </c>
      <c r="D900" s="64">
        <f t="shared" si="26"/>
        <v>-3.2432562231356932E-2</v>
      </c>
      <c r="F900" s="74">
        <v>45754</v>
      </c>
      <c r="G900" s="40">
        <v>1396.75</v>
      </c>
      <c r="H900">
        <f t="shared" si="27"/>
        <v>-3.7819033513588063E-2</v>
      </c>
    </row>
    <row r="901" spans="2:8" x14ac:dyDescent="0.35">
      <c r="B901" s="74">
        <v>45755</v>
      </c>
      <c r="C901">
        <v>22535.85</v>
      </c>
      <c r="D901" s="64">
        <f t="shared" si="26"/>
        <v>1.68873186051548E-2</v>
      </c>
      <c r="F901" s="74">
        <v>45755</v>
      </c>
      <c r="G901" s="40">
        <v>1428.8</v>
      </c>
      <c r="H901">
        <f t="shared" si="27"/>
        <v>2.2946124932879952E-2</v>
      </c>
    </row>
    <row r="902" spans="2:8" x14ac:dyDescent="0.35">
      <c r="B902" s="74">
        <v>45756</v>
      </c>
      <c r="C902">
        <v>22399.15</v>
      </c>
      <c r="D902" s="64">
        <f t="shared" si="26"/>
        <v>-6.0658905699140231E-3</v>
      </c>
      <c r="F902" s="74">
        <v>45756</v>
      </c>
      <c r="G902" s="40">
        <v>1403.7</v>
      </c>
      <c r="H902">
        <f t="shared" si="27"/>
        <v>-1.7567189249720006E-2</v>
      </c>
    </row>
    <row r="903" spans="2:8" x14ac:dyDescent="0.35">
      <c r="B903" s="74">
        <v>45758</v>
      </c>
      <c r="C903">
        <v>22828.55</v>
      </c>
      <c r="D903" s="64">
        <f t="shared" ref="D903:D966" si="28">C903/C902-1</f>
        <v>1.91703703042303E-2</v>
      </c>
      <c r="F903" s="74">
        <v>45758</v>
      </c>
      <c r="G903" s="40">
        <v>1409.45</v>
      </c>
      <c r="H903">
        <f t="shared" ref="H903:H966" si="29">G903/G902-1</f>
        <v>4.0963168768255454E-3</v>
      </c>
    </row>
    <row r="904" spans="2:8" x14ac:dyDescent="0.35">
      <c r="B904" s="74">
        <v>45762</v>
      </c>
      <c r="C904">
        <v>23328.55</v>
      </c>
      <c r="D904" s="64">
        <f t="shared" si="28"/>
        <v>2.1902398531663314E-2</v>
      </c>
      <c r="F904" s="74">
        <v>45762</v>
      </c>
      <c r="G904" s="40">
        <v>1426</v>
      </c>
      <c r="H904">
        <f t="shared" si="29"/>
        <v>1.1742168931143215E-2</v>
      </c>
    </row>
    <row r="905" spans="2:8" x14ac:dyDescent="0.35">
      <c r="B905" s="74">
        <v>45763</v>
      </c>
      <c r="C905">
        <v>23437.200000000001</v>
      </c>
      <c r="D905" s="64">
        <f t="shared" si="28"/>
        <v>4.6573833350123106E-3</v>
      </c>
      <c r="F905" s="74">
        <v>45763</v>
      </c>
      <c r="G905" s="40">
        <v>1413.1</v>
      </c>
      <c r="H905">
        <f t="shared" si="29"/>
        <v>-9.0462833099579365E-3</v>
      </c>
    </row>
    <row r="906" spans="2:8" x14ac:dyDescent="0.35">
      <c r="B906" s="74">
        <v>45764</v>
      </c>
      <c r="C906">
        <v>23851.65</v>
      </c>
      <c r="D906" s="64">
        <f t="shared" si="28"/>
        <v>1.7683426347857356E-2</v>
      </c>
      <c r="F906" s="74">
        <v>45764</v>
      </c>
      <c r="G906" s="40">
        <v>1419.5</v>
      </c>
      <c r="H906">
        <f t="shared" si="29"/>
        <v>4.529049607246538E-3</v>
      </c>
    </row>
    <row r="907" spans="2:8" x14ac:dyDescent="0.35">
      <c r="B907" s="74">
        <v>45768</v>
      </c>
      <c r="C907">
        <v>24125.55</v>
      </c>
      <c r="D907" s="64">
        <f t="shared" si="28"/>
        <v>1.1483482274811108E-2</v>
      </c>
      <c r="F907" s="74">
        <v>45768</v>
      </c>
      <c r="G907" s="40">
        <v>1451</v>
      </c>
      <c r="H907">
        <f t="shared" si="29"/>
        <v>2.2190912293061027E-2</v>
      </c>
    </row>
    <row r="908" spans="2:8" x14ac:dyDescent="0.35">
      <c r="B908" s="74">
        <v>45769</v>
      </c>
      <c r="C908">
        <v>24167.25</v>
      </c>
      <c r="D908" s="64">
        <f t="shared" si="28"/>
        <v>1.7284580040661801E-3</v>
      </c>
      <c r="F908" s="74">
        <v>45769</v>
      </c>
      <c r="G908" s="40">
        <v>1422.8</v>
      </c>
      <c r="H908">
        <f t="shared" si="29"/>
        <v>-1.9434872501722933E-2</v>
      </c>
    </row>
    <row r="909" spans="2:8" x14ac:dyDescent="0.35">
      <c r="B909" s="74">
        <v>45770</v>
      </c>
      <c r="C909">
        <v>24328.95</v>
      </c>
      <c r="D909" s="64">
        <f t="shared" si="28"/>
        <v>6.6908729789281196E-3</v>
      </c>
      <c r="F909" s="74">
        <v>45770</v>
      </c>
      <c r="G909" s="40">
        <v>1474.9</v>
      </c>
      <c r="H909">
        <f t="shared" si="29"/>
        <v>3.6617936463311906E-2</v>
      </c>
    </row>
    <row r="910" spans="2:8" x14ac:dyDescent="0.35">
      <c r="B910" s="74">
        <v>45771</v>
      </c>
      <c r="C910">
        <v>24246.7</v>
      </c>
      <c r="D910" s="64">
        <f t="shared" si="28"/>
        <v>-3.380745983694311E-3</v>
      </c>
      <c r="F910" s="74">
        <v>45771</v>
      </c>
      <c r="G910" s="40">
        <v>1471.4</v>
      </c>
      <c r="H910">
        <f t="shared" si="29"/>
        <v>-2.3730422401518902E-3</v>
      </c>
    </row>
    <row r="911" spans="2:8" x14ac:dyDescent="0.35">
      <c r="B911" s="74">
        <v>45772</v>
      </c>
      <c r="C911">
        <v>24039.35</v>
      </c>
      <c r="D911" s="64">
        <f t="shared" si="28"/>
        <v>-8.5516791975815964E-3</v>
      </c>
      <c r="F911" s="74">
        <v>45772</v>
      </c>
      <c r="G911" s="40">
        <v>1480.2</v>
      </c>
      <c r="H911">
        <f t="shared" si="29"/>
        <v>5.9806986543426977E-3</v>
      </c>
    </row>
    <row r="912" spans="2:8" x14ac:dyDescent="0.35">
      <c r="B912" s="74">
        <v>45775</v>
      </c>
      <c r="C912">
        <v>24328.5</v>
      </c>
      <c r="D912" s="64">
        <f t="shared" si="28"/>
        <v>1.2028195437896683E-2</v>
      </c>
      <c r="F912" s="74">
        <v>45775</v>
      </c>
      <c r="G912" s="40">
        <v>1482.1</v>
      </c>
      <c r="H912">
        <f t="shared" si="29"/>
        <v>1.2836103229292295E-3</v>
      </c>
    </row>
    <row r="913" spans="2:8" x14ac:dyDescent="0.35">
      <c r="B913" s="74">
        <v>45776</v>
      </c>
      <c r="C913">
        <v>24335.95</v>
      </c>
      <c r="D913" s="64">
        <f t="shared" si="28"/>
        <v>3.0622520911682827E-4</v>
      </c>
      <c r="F913" s="74">
        <v>45776</v>
      </c>
      <c r="G913" s="40">
        <v>1497.5</v>
      </c>
      <c r="H913">
        <f t="shared" si="29"/>
        <v>1.0390661898657338E-2</v>
      </c>
    </row>
    <row r="914" spans="2:8" x14ac:dyDescent="0.35">
      <c r="B914" s="74">
        <v>45777</v>
      </c>
      <c r="C914">
        <v>24334.2</v>
      </c>
      <c r="D914" s="64">
        <f t="shared" si="28"/>
        <v>-7.1910075423398112E-5</v>
      </c>
      <c r="F914" s="74">
        <v>45777</v>
      </c>
      <c r="G914" s="40">
        <v>1500.1</v>
      </c>
      <c r="H914">
        <f t="shared" si="29"/>
        <v>1.7362270450751449E-3</v>
      </c>
    </row>
    <row r="915" spans="2:8" x14ac:dyDescent="0.35">
      <c r="B915" s="74">
        <v>45779</v>
      </c>
      <c r="C915">
        <v>24346.7</v>
      </c>
      <c r="D915" s="64">
        <f t="shared" si="28"/>
        <v>5.1368033467302787E-4</v>
      </c>
      <c r="F915" s="74">
        <v>45779</v>
      </c>
      <c r="G915" s="40">
        <v>1506.8</v>
      </c>
      <c r="H915">
        <f t="shared" si="29"/>
        <v>4.4663689087394154E-3</v>
      </c>
    </row>
    <row r="916" spans="2:8" x14ac:dyDescent="0.35">
      <c r="B916" s="74">
        <v>45782</v>
      </c>
      <c r="C916">
        <v>24461.15</v>
      </c>
      <c r="D916" s="64">
        <f t="shared" si="28"/>
        <v>4.7008424139616256E-3</v>
      </c>
      <c r="F916" s="74">
        <v>45782</v>
      </c>
      <c r="G916" s="40">
        <v>1508.6</v>
      </c>
      <c r="H916">
        <f t="shared" si="29"/>
        <v>1.1945845500398455E-3</v>
      </c>
    </row>
    <row r="917" spans="2:8" x14ac:dyDescent="0.35">
      <c r="B917" s="74">
        <v>45783</v>
      </c>
      <c r="C917">
        <v>24379.599999999999</v>
      </c>
      <c r="D917" s="64">
        <f t="shared" si="28"/>
        <v>-3.3338579747886898E-3</v>
      </c>
      <c r="F917" s="74">
        <v>45783</v>
      </c>
      <c r="G917" s="40">
        <v>1511.5</v>
      </c>
      <c r="H917">
        <f t="shared" si="29"/>
        <v>1.922312077422772E-3</v>
      </c>
    </row>
    <row r="918" spans="2:8" x14ac:dyDescent="0.35">
      <c r="B918" s="74">
        <v>45784</v>
      </c>
      <c r="C918">
        <v>24414.400000000001</v>
      </c>
      <c r="D918" s="64">
        <f t="shared" si="28"/>
        <v>1.4274229273656402E-3</v>
      </c>
      <c r="F918" s="74">
        <v>45784</v>
      </c>
      <c r="G918" s="40">
        <v>1508.3</v>
      </c>
      <c r="H918">
        <f t="shared" si="29"/>
        <v>-2.1171022163414266E-3</v>
      </c>
    </row>
    <row r="919" spans="2:8" x14ac:dyDescent="0.35">
      <c r="B919" s="74">
        <v>45785</v>
      </c>
      <c r="C919">
        <v>24273.8</v>
      </c>
      <c r="D919" s="64">
        <f t="shared" si="28"/>
        <v>-5.758896389016388E-3</v>
      </c>
      <c r="F919" s="74">
        <v>45785</v>
      </c>
      <c r="G919" s="40">
        <v>1511.4</v>
      </c>
      <c r="H919">
        <f t="shared" si="29"/>
        <v>2.0552940396474373E-3</v>
      </c>
    </row>
    <row r="920" spans="2:8" x14ac:dyDescent="0.35">
      <c r="B920" s="74">
        <v>45786</v>
      </c>
      <c r="C920">
        <v>24008</v>
      </c>
      <c r="D920" s="64">
        <f t="shared" si="28"/>
        <v>-1.0950077861727414E-2</v>
      </c>
      <c r="F920" s="74">
        <v>45786</v>
      </c>
      <c r="G920" s="40">
        <v>1507.6</v>
      </c>
      <c r="H920">
        <f t="shared" si="29"/>
        <v>-2.5142252216489025E-3</v>
      </c>
    </row>
    <row r="921" spans="2:8" x14ac:dyDescent="0.35">
      <c r="B921" s="74">
        <v>45789</v>
      </c>
      <c r="C921">
        <v>24924.7</v>
      </c>
      <c r="D921" s="64">
        <f t="shared" si="28"/>
        <v>3.8183105631456105E-2</v>
      </c>
      <c r="F921" s="74">
        <v>45789</v>
      </c>
      <c r="G921" s="40">
        <v>1626.9</v>
      </c>
      <c r="H921">
        <f t="shared" si="29"/>
        <v>7.9132395860971094E-2</v>
      </c>
    </row>
    <row r="922" spans="2:8" x14ac:dyDescent="0.35">
      <c r="B922" s="74">
        <v>45790</v>
      </c>
      <c r="C922">
        <v>24578.35</v>
      </c>
      <c r="D922" s="64">
        <f t="shared" si="28"/>
        <v>-1.3895854313191403E-2</v>
      </c>
      <c r="F922" s="74">
        <v>45790</v>
      </c>
      <c r="G922" s="40">
        <v>1568.6</v>
      </c>
      <c r="H922">
        <f t="shared" si="29"/>
        <v>-3.5835023664638421E-2</v>
      </c>
    </row>
    <row r="923" spans="2:8" x14ac:dyDescent="0.35">
      <c r="B923" s="74">
        <v>45791</v>
      </c>
      <c r="C923">
        <v>24666.9</v>
      </c>
      <c r="D923" s="64">
        <f t="shared" si="28"/>
        <v>3.602764221357635E-3</v>
      </c>
      <c r="F923" s="74">
        <v>45791</v>
      </c>
      <c r="G923" s="40">
        <v>1592.4</v>
      </c>
      <c r="H923">
        <f t="shared" si="29"/>
        <v>1.5172765523396858E-2</v>
      </c>
    </row>
    <row r="924" spans="2:8" x14ac:dyDescent="0.35">
      <c r="B924" s="74">
        <v>45792</v>
      </c>
      <c r="C924">
        <v>25062.1</v>
      </c>
      <c r="D924" s="64">
        <f t="shared" si="28"/>
        <v>1.6021470067175025E-2</v>
      </c>
      <c r="F924" s="74">
        <v>45792</v>
      </c>
      <c r="G924" s="40">
        <v>1613</v>
      </c>
      <c r="H924">
        <f t="shared" si="29"/>
        <v>1.2936448128610945E-2</v>
      </c>
    </row>
    <row r="925" spans="2:8" x14ac:dyDescent="0.35">
      <c r="B925" s="74">
        <v>45793</v>
      </c>
      <c r="C925">
        <v>25019.8</v>
      </c>
      <c r="D925" s="64">
        <f t="shared" si="28"/>
        <v>-1.6878074862042292E-3</v>
      </c>
      <c r="F925" s="74">
        <v>45793</v>
      </c>
      <c r="G925" s="40">
        <v>1589.9</v>
      </c>
      <c r="H925">
        <f t="shared" si="29"/>
        <v>-1.4321140731556103E-2</v>
      </c>
    </row>
    <row r="926" spans="2:8" x14ac:dyDescent="0.35">
      <c r="B926" s="74">
        <v>45796</v>
      </c>
      <c r="C926">
        <v>24945.45</v>
      </c>
      <c r="D926" s="64">
        <f t="shared" si="28"/>
        <v>-2.9716464560067823E-3</v>
      </c>
      <c r="F926" s="74">
        <v>45796</v>
      </c>
      <c r="G926" s="40">
        <v>1559.8</v>
      </c>
      <c r="H926">
        <f t="shared" si="29"/>
        <v>-1.8932008302409042E-2</v>
      </c>
    </row>
    <row r="927" spans="2:8" x14ac:dyDescent="0.35">
      <c r="B927" s="74">
        <v>45797</v>
      </c>
      <c r="C927">
        <v>24683.9</v>
      </c>
      <c r="D927" s="64">
        <f t="shared" si="28"/>
        <v>-1.0484878003804265E-2</v>
      </c>
      <c r="F927" s="74">
        <v>45797</v>
      </c>
      <c r="G927" s="40">
        <v>1560.6</v>
      </c>
      <c r="H927">
        <f t="shared" si="29"/>
        <v>5.1288626747014732E-4</v>
      </c>
    </row>
    <row r="928" spans="2:8" x14ac:dyDescent="0.35">
      <c r="B928" s="74">
        <v>45798</v>
      </c>
      <c r="C928">
        <v>24813.45</v>
      </c>
      <c r="D928" s="64">
        <f t="shared" si="28"/>
        <v>5.2483602672186436E-3</v>
      </c>
      <c r="F928" s="74">
        <v>45798</v>
      </c>
      <c r="G928" s="40">
        <v>1568.5</v>
      </c>
      <c r="H928">
        <f t="shared" si="29"/>
        <v>5.0621555811867225E-3</v>
      </c>
    </row>
    <row r="929" spans="2:8" x14ac:dyDescent="0.35">
      <c r="B929" s="74">
        <v>45799</v>
      </c>
      <c r="C929">
        <v>24609.7</v>
      </c>
      <c r="D929" s="64">
        <f t="shared" si="28"/>
        <v>-8.2112725155107924E-3</v>
      </c>
      <c r="F929" s="74">
        <v>45799</v>
      </c>
      <c r="G929" s="40">
        <v>1547.5</v>
      </c>
      <c r="H929">
        <f t="shared" si="29"/>
        <v>-1.3388587822760645E-2</v>
      </c>
    </row>
    <row r="930" spans="2:8" x14ac:dyDescent="0.35">
      <c r="B930" s="74">
        <v>45800</v>
      </c>
      <c r="C930">
        <v>24853.15</v>
      </c>
      <c r="D930" s="64">
        <f t="shared" si="28"/>
        <v>9.8924407855438545E-3</v>
      </c>
      <c r="F930" s="74">
        <v>45800</v>
      </c>
      <c r="G930" s="40">
        <v>1564.8</v>
      </c>
      <c r="H930">
        <f t="shared" si="29"/>
        <v>1.1179321486268101E-2</v>
      </c>
    </row>
    <row r="931" spans="2:8" x14ac:dyDescent="0.35">
      <c r="B931" s="74">
        <v>45803</v>
      </c>
      <c r="C931">
        <v>25001.15</v>
      </c>
      <c r="D931" s="64">
        <f t="shared" si="28"/>
        <v>5.954979549875894E-3</v>
      </c>
      <c r="F931" s="74">
        <v>45803</v>
      </c>
      <c r="G931" s="40">
        <v>1580.5</v>
      </c>
      <c r="H931">
        <f t="shared" si="29"/>
        <v>1.0033231083844685E-2</v>
      </c>
    </row>
    <row r="932" spans="2:8" x14ac:dyDescent="0.35">
      <c r="B932" s="74">
        <v>45804</v>
      </c>
      <c r="C932">
        <v>24826.2</v>
      </c>
      <c r="D932" s="64">
        <f t="shared" si="28"/>
        <v>-6.9976781068070704E-3</v>
      </c>
      <c r="F932" s="74">
        <v>45804</v>
      </c>
      <c r="G932" s="40">
        <v>1570.1</v>
      </c>
      <c r="H932">
        <f t="shared" si="29"/>
        <v>-6.5801961404619025E-3</v>
      </c>
    </row>
    <row r="933" spans="2:8" x14ac:dyDescent="0.35">
      <c r="B933" s="74">
        <v>45805</v>
      </c>
      <c r="C933">
        <v>24752.45</v>
      </c>
      <c r="D933" s="64">
        <f t="shared" si="28"/>
        <v>-2.9706519725128944E-3</v>
      </c>
      <c r="F933" s="74">
        <v>45805</v>
      </c>
      <c r="G933" s="40">
        <v>1571.8</v>
      </c>
      <c r="H933">
        <f t="shared" si="29"/>
        <v>1.0827335838481389E-3</v>
      </c>
    </row>
    <row r="934" spans="2:8" x14ac:dyDescent="0.35">
      <c r="B934" s="74">
        <v>45806</v>
      </c>
      <c r="C934">
        <v>24833.599999999999</v>
      </c>
      <c r="D934" s="64">
        <f t="shared" si="28"/>
        <v>3.2784633440325894E-3</v>
      </c>
      <c r="F934" s="74">
        <v>45806</v>
      </c>
      <c r="G934" s="40">
        <v>1585.6</v>
      </c>
      <c r="H934">
        <f t="shared" si="29"/>
        <v>8.7797429698435181E-3</v>
      </c>
    </row>
    <row r="935" spans="2:8" x14ac:dyDescent="0.35">
      <c r="B935" s="74">
        <v>45807</v>
      </c>
      <c r="C935">
        <v>24750.7</v>
      </c>
      <c r="D935" s="64">
        <f t="shared" si="28"/>
        <v>-3.3382191869080202E-3</v>
      </c>
      <c r="F935" s="74">
        <v>45807</v>
      </c>
      <c r="G935" s="40">
        <v>1562.7</v>
      </c>
      <c r="H935">
        <f t="shared" si="29"/>
        <v>-1.4442482341069596E-2</v>
      </c>
    </row>
    <row r="936" spans="2:8" x14ac:dyDescent="0.35">
      <c r="B936" s="74">
        <v>45810</v>
      </c>
      <c r="C936">
        <v>24716.6</v>
      </c>
      <c r="D936" s="64">
        <f t="shared" si="28"/>
        <v>-1.3777388114276645E-3</v>
      </c>
      <c r="F936" s="74">
        <v>45810</v>
      </c>
      <c r="G936" s="40">
        <v>1553.8</v>
      </c>
      <c r="H936">
        <f t="shared" si="29"/>
        <v>-5.6952710053114197E-3</v>
      </c>
    </row>
    <row r="937" spans="2:8" x14ac:dyDescent="0.35">
      <c r="B937" s="74">
        <v>45811</v>
      </c>
      <c r="C937">
        <v>24542.5</v>
      </c>
      <c r="D937" s="64">
        <f t="shared" si="28"/>
        <v>-7.0438490730925229E-3</v>
      </c>
      <c r="F937" s="74">
        <v>45811</v>
      </c>
      <c r="G937" s="40">
        <v>1543</v>
      </c>
      <c r="H937">
        <f t="shared" si="29"/>
        <v>-6.9507015059853128E-3</v>
      </c>
    </row>
    <row r="938" spans="2:8" x14ac:dyDescent="0.35">
      <c r="B938" s="74">
        <v>45812</v>
      </c>
      <c r="C938">
        <v>24620.2</v>
      </c>
      <c r="D938" s="64">
        <f t="shared" si="28"/>
        <v>3.1659366405216716E-3</v>
      </c>
      <c r="F938" s="74">
        <v>45812</v>
      </c>
      <c r="G938" s="40">
        <v>1551.2</v>
      </c>
      <c r="H938">
        <f t="shared" si="29"/>
        <v>5.3143227478937849E-3</v>
      </c>
    </row>
    <row r="939" spans="2:8" x14ac:dyDescent="0.35">
      <c r="B939" s="74">
        <v>45813</v>
      </c>
      <c r="C939">
        <v>24750.9</v>
      </c>
      <c r="D939" s="64">
        <f t="shared" si="28"/>
        <v>5.3086489955402882E-3</v>
      </c>
      <c r="F939" s="74">
        <v>45813</v>
      </c>
      <c r="G939" s="40">
        <v>1554.3</v>
      </c>
      <c r="H939">
        <f t="shared" si="29"/>
        <v>1.9984528107270805E-3</v>
      </c>
    </row>
    <row r="940" spans="2:8" x14ac:dyDescent="0.35">
      <c r="B940" s="74">
        <v>45814</v>
      </c>
      <c r="C940">
        <v>25003.05</v>
      </c>
      <c r="D940" s="64">
        <f t="shared" si="28"/>
        <v>1.0187508333030282E-2</v>
      </c>
      <c r="F940" s="74">
        <v>45814</v>
      </c>
      <c r="G940" s="40">
        <v>1563.8</v>
      </c>
      <c r="H940">
        <f t="shared" si="29"/>
        <v>6.1120761757704756E-3</v>
      </c>
    </row>
    <row r="941" spans="2:8" x14ac:dyDescent="0.35">
      <c r="B941" s="74">
        <v>45817</v>
      </c>
      <c r="C941">
        <v>25103.200000000001</v>
      </c>
      <c r="D941" s="64">
        <f t="shared" si="28"/>
        <v>4.0055113276180609E-3</v>
      </c>
      <c r="F941" s="74">
        <v>45817</v>
      </c>
      <c r="G941" s="40">
        <v>1572.9</v>
      </c>
      <c r="H941">
        <f t="shared" si="29"/>
        <v>5.8191584601612334E-3</v>
      </c>
    </row>
    <row r="942" spans="2:8" x14ac:dyDescent="0.35">
      <c r="B942" s="74">
        <v>45818</v>
      </c>
      <c r="C942">
        <v>25104.25</v>
      </c>
      <c r="D942" s="64">
        <f t="shared" si="28"/>
        <v>4.1827336753952338E-5</v>
      </c>
      <c r="F942" s="74">
        <v>45818</v>
      </c>
      <c r="G942" s="40">
        <v>1596</v>
      </c>
      <c r="H942">
        <f t="shared" si="29"/>
        <v>1.4686248331108098E-2</v>
      </c>
    </row>
    <row r="943" spans="2:8" x14ac:dyDescent="0.35">
      <c r="B943" s="74">
        <v>45819</v>
      </c>
      <c r="C943">
        <v>25141.4</v>
      </c>
      <c r="D943" s="64">
        <f t="shared" si="28"/>
        <v>1.4798291126005836E-3</v>
      </c>
      <c r="F943" s="74">
        <v>45819</v>
      </c>
      <c r="G943" s="40">
        <v>1631.1</v>
      </c>
      <c r="H943">
        <f t="shared" si="29"/>
        <v>2.1992481203007452E-2</v>
      </c>
    </row>
    <row r="944" spans="2:8" x14ac:dyDescent="0.35">
      <c r="B944" s="74">
        <v>45820</v>
      </c>
      <c r="C944">
        <v>24888.2</v>
      </c>
      <c r="D944" s="64">
        <f t="shared" si="28"/>
        <v>-1.0071038207896121E-2</v>
      </c>
      <c r="F944" s="74">
        <v>45820</v>
      </c>
      <c r="G944" s="40">
        <v>1608.6</v>
      </c>
      <c r="H944">
        <f t="shared" si="29"/>
        <v>-1.3794371896266311E-2</v>
      </c>
    </row>
    <row r="945" spans="2:8" x14ac:dyDescent="0.35">
      <c r="B945" s="74">
        <v>45821</v>
      </c>
      <c r="C945">
        <v>24718.6</v>
      </c>
      <c r="D945" s="64">
        <f t="shared" si="28"/>
        <v>-6.8144743292002374E-3</v>
      </c>
      <c r="F945" s="74">
        <v>45821</v>
      </c>
      <c r="G945" s="40">
        <v>1602</v>
      </c>
      <c r="H945">
        <f t="shared" si="29"/>
        <v>-4.1029466616933075E-3</v>
      </c>
    </row>
    <row r="946" spans="2:8" x14ac:dyDescent="0.35">
      <c r="B946" s="74">
        <v>45824</v>
      </c>
      <c r="C946">
        <v>24946.5</v>
      </c>
      <c r="D946" s="64">
        <f t="shared" si="28"/>
        <v>9.2197778191323021E-3</v>
      </c>
      <c r="F946" s="74">
        <v>45824</v>
      </c>
      <c r="G946" s="40">
        <v>1623.8</v>
      </c>
      <c r="H946">
        <f t="shared" si="29"/>
        <v>1.3607990012484361E-2</v>
      </c>
    </row>
    <row r="947" spans="2:8" x14ac:dyDescent="0.35">
      <c r="B947" s="74">
        <v>45825</v>
      </c>
      <c r="C947">
        <v>24853.4</v>
      </c>
      <c r="D947" s="64">
        <f t="shared" si="28"/>
        <v>-3.7319864510051426E-3</v>
      </c>
      <c r="F947" s="74">
        <v>45825</v>
      </c>
      <c r="G947" s="40">
        <v>1639.9</v>
      </c>
      <c r="H947">
        <f t="shared" si="29"/>
        <v>9.9150141643060685E-3</v>
      </c>
    </row>
    <row r="948" spans="2:8" x14ac:dyDescent="0.35">
      <c r="B948" s="74">
        <v>45826</v>
      </c>
      <c r="C948">
        <v>24812.05</v>
      </c>
      <c r="D948" s="64">
        <f t="shared" si="28"/>
        <v>-1.6637562667483063E-3</v>
      </c>
      <c r="F948" s="74">
        <v>45826</v>
      </c>
      <c r="G948" s="40">
        <v>1632.9</v>
      </c>
      <c r="H948">
        <f t="shared" si="29"/>
        <v>-4.2685529605464012E-3</v>
      </c>
    </row>
    <row r="949" spans="2:8" x14ac:dyDescent="0.35">
      <c r="B949" s="74">
        <v>45827</v>
      </c>
      <c r="C949">
        <v>24793.25</v>
      </c>
      <c r="D949" s="64">
        <f t="shared" si="28"/>
        <v>-7.5769636124378703E-4</v>
      </c>
      <c r="F949" s="74">
        <v>45827</v>
      </c>
      <c r="G949" s="40">
        <v>1618.4</v>
      </c>
      <c r="H949">
        <f t="shared" si="29"/>
        <v>-8.8799069140792497E-3</v>
      </c>
    </row>
    <row r="950" spans="2:8" x14ac:dyDescent="0.35">
      <c r="B950" s="74">
        <v>45828</v>
      </c>
      <c r="C950">
        <v>25112.400000000001</v>
      </c>
      <c r="D950" s="64">
        <f t="shared" si="28"/>
        <v>1.2872455204541611E-2</v>
      </c>
      <c r="F950" s="74">
        <v>45828</v>
      </c>
      <c r="G950" s="40">
        <v>1622.9</v>
      </c>
      <c r="H950">
        <f t="shared" si="29"/>
        <v>2.7805239742955123E-3</v>
      </c>
    </row>
    <row r="951" spans="2:8" x14ac:dyDescent="0.35">
      <c r="B951" s="74">
        <v>45831</v>
      </c>
      <c r="C951">
        <v>24971.9</v>
      </c>
      <c r="D951" s="64">
        <f t="shared" si="28"/>
        <v>-5.594845574297902E-3</v>
      </c>
      <c r="F951" s="74">
        <v>45831</v>
      </c>
      <c r="G951" s="40">
        <v>1584</v>
      </c>
      <c r="H951">
        <f t="shared" si="29"/>
        <v>-2.3969437426828555E-2</v>
      </c>
    </row>
    <row r="952" spans="2:8" x14ac:dyDescent="0.35">
      <c r="B952" s="74">
        <v>45832</v>
      </c>
      <c r="C952">
        <v>25044.35</v>
      </c>
      <c r="D952" s="64">
        <f t="shared" si="28"/>
        <v>2.9012610173835274E-3</v>
      </c>
      <c r="F952" s="74">
        <v>45832</v>
      </c>
      <c r="G952" s="40">
        <v>1581.6</v>
      </c>
      <c r="H952">
        <f t="shared" si="29"/>
        <v>-1.5151515151515804E-3</v>
      </c>
    </row>
    <row r="953" spans="2:8" x14ac:dyDescent="0.35">
      <c r="B953" s="74">
        <v>45833</v>
      </c>
      <c r="C953">
        <v>25244.75</v>
      </c>
      <c r="D953" s="64">
        <f t="shared" si="28"/>
        <v>8.001804798287937E-3</v>
      </c>
      <c r="F953" s="74">
        <v>45833</v>
      </c>
      <c r="G953" s="40">
        <v>1614.9</v>
      </c>
      <c r="H953">
        <f t="shared" si="29"/>
        <v>2.1054628224582927E-2</v>
      </c>
    </row>
    <row r="954" spans="2:8" x14ac:dyDescent="0.35">
      <c r="B954" s="74">
        <v>45834</v>
      </c>
      <c r="C954">
        <v>25549</v>
      </c>
      <c r="D954" s="64">
        <f t="shared" si="28"/>
        <v>1.2052010814129765E-2</v>
      </c>
      <c r="F954" s="74">
        <v>45834</v>
      </c>
      <c r="G954" s="40">
        <v>1616</v>
      </c>
      <c r="H954">
        <f t="shared" si="29"/>
        <v>6.8115672797075533E-4</v>
      </c>
    </row>
    <row r="955" spans="2:8" x14ac:dyDescent="0.35">
      <c r="B955" s="74">
        <v>45835</v>
      </c>
      <c r="C955">
        <v>25637.8</v>
      </c>
      <c r="D955" s="64">
        <f t="shared" si="28"/>
        <v>3.4756741946846414E-3</v>
      </c>
      <c r="F955" s="74">
        <v>45835</v>
      </c>
      <c r="G955" s="40">
        <v>1608</v>
      </c>
      <c r="H955">
        <f t="shared" si="29"/>
        <v>-4.9504950495049549E-3</v>
      </c>
    </row>
    <row r="956" spans="2:8" x14ac:dyDescent="0.35">
      <c r="B956" s="74">
        <v>45838</v>
      </c>
      <c r="C956">
        <v>25517.05</v>
      </c>
      <c r="D956" s="64">
        <f t="shared" si="28"/>
        <v>-4.7098424981862896E-3</v>
      </c>
      <c r="F956" s="74">
        <v>45838</v>
      </c>
      <c r="G956" s="40">
        <v>1601.8</v>
      </c>
      <c r="H956">
        <f t="shared" si="29"/>
        <v>-3.8557213930348055E-3</v>
      </c>
    </row>
    <row r="957" spans="2:8" x14ac:dyDescent="0.35">
      <c r="B957" s="74">
        <v>45839</v>
      </c>
      <c r="C957">
        <v>25541.8</v>
      </c>
      <c r="D957" s="64">
        <f t="shared" si="28"/>
        <v>9.6993970698022736E-4</v>
      </c>
      <c r="F957" s="74">
        <v>45839</v>
      </c>
      <c r="G957" s="40">
        <v>1606.8</v>
      </c>
      <c r="H957">
        <f t="shared" si="29"/>
        <v>3.1214883256336368E-3</v>
      </c>
    </row>
    <row r="958" spans="2:8" x14ac:dyDescent="0.35">
      <c r="B958" s="74">
        <v>45840</v>
      </c>
      <c r="C958">
        <v>25453.4</v>
      </c>
      <c r="D958" s="64">
        <f t="shared" si="28"/>
        <v>-3.4609933520737268E-3</v>
      </c>
      <c r="F958" s="74">
        <v>45840</v>
      </c>
      <c r="G958" s="40">
        <v>1610.5</v>
      </c>
      <c r="H958">
        <f t="shared" si="29"/>
        <v>2.3027134677620076E-3</v>
      </c>
    </row>
    <row r="959" spans="2:8" x14ac:dyDescent="0.35">
      <c r="B959" s="74">
        <v>45841</v>
      </c>
      <c r="C959">
        <v>25405.3</v>
      </c>
      <c r="D959" s="64">
        <f t="shared" si="28"/>
        <v>-1.8897278948981633E-3</v>
      </c>
      <c r="F959" s="74">
        <v>45841</v>
      </c>
      <c r="G959" s="40">
        <v>1618.7</v>
      </c>
      <c r="H959">
        <f t="shared" si="29"/>
        <v>5.0915864638312325E-3</v>
      </c>
    </row>
    <row r="960" spans="2:8" x14ac:dyDescent="0.35">
      <c r="B960" s="74">
        <v>45842</v>
      </c>
      <c r="C960">
        <v>25461</v>
      </c>
      <c r="D960" s="64">
        <f t="shared" si="28"/>
        <v>2.1924559048702719E-3</v>
      </c>
      <c r="F960" s="74">
        <v>45842</v>
      </c>
      <c r="G960" s="40">
        <v>1640.7</v>
      </c>
      <c r="H960">
        <f t="shared" si="29"/>
        <v>1.3591153394699518E-2</v>
      </c>
    </row>
    <row r="961" spans="2:8" x14ac:dyDescent="0.35">
      <c r="B961" s="74">
        <v>45845</v>
      </c>
      <c r="C961">
        <v>25461.3</v>
      </c>
      <c r="D961" s="64">
        <f t="shared" si="28"/>
        <v>1.1782726522913123E-5</v>
      </c>
      <c r="F961" s="74">
        <v>45845</v>
      </c>
      <c r="G961" s="40">
        <v>1627</v>
      </c>
      <c r="H961">
        <f t="shared" si="29"/>
        <v>-8.3500944718717385E-3</v>
      </c>
    </row>
    <row r="962" spans="2:8" x14ac:dyDescent="0.35">
      <c r="B962" s="74">
        <v>45846</v>
      </c>
      <c r="C962">
        <v>25522.5</v>
      </c>
      <c r="D962" s="64">
        <f t="shared" si="28"/>
        <v>2.403647889149374E-3</v>
      </c>
      <c r="F962" s="74">
        <v>45846</v>
      </c>
      <c r="G962" s="40">
        <v>1638.7</v>
      </c>
      <c r="H962">
        <f t="shared" si="29"/>
        <v>7.1911493546403804E-3</v>
      </c>
    </row>
    <row r="963" spans="2:8" x14ac:dyDescent="0.35">
      <c r="B963" s="74">
        <v>45847</v>
      </c>
      <c r="C963">
        <v>25476.1</v>
      </c>
      <c r="D963" s="64">
        <f t="shared" si="28"/>
        <v>-1.8180037222059742E-3</v>
      </c>
      <c r="F963" s="74">
        <v>45847</v>
      </c>
      <c r="G963" s="40">
        <v>1633.7</v>
      </c>
      <c r="H963">
        <f t="shared" si="29"/>
        <v>-3.0511991212546219E-3</v>
      </c>
    </row>
    <row r="964" spans="2:8" x14ac:dyDescent="0.35">
      <c r="B964" s="74">
        <v>45848</v>
      </c>
      <c r="C964">
        <v>25355.25</v>
      </c>
      <c r="D964" s="64">
        <f t="shared" si="28"/>
        <v>-4.7436617064621212E-3</v>
      </c>
      <c r="F964" s="74">
        <v>45848</v>
      </c>
      <c r="G964" s="40">
        <v>1615.8</v>
      </c>
      <c r="H964">
        <f t="shared" si="29"/>
        <v>-1.0956724000734552E-2</v>
      </c>
    </row>
    <row r="965" spans="2:8" x14ac:dyDescent="0.35">
      <c r="B965" s="74">
        <v>45849</v>
      </c>
      <c r="C965">
        <v>25149.85</v>
      </c>
      <c r="D965" s="64">
        <f t="shared" si="28"/>
        <v>-8.1008864041963724E-3</v>
      </c>
      <c r="F965" s="74">
        <v>45849</v>
      </c>
      <c r="G965" s="40">
        <v>1594.9</v>
      </c>
      <c r="H965">
        <f t="shared" si="29"/>
        <v>-1.2934769154598236E-2</v>
      </c>
    </row>
    <row r="966" spans="2:8" x14ac:dyDescent="0.35">
      <c r="B966" s="74">
        <v>45852</v>
      </c>
      <c r="C966">
        <v>25082.3</v>
      </c>
      <c r="D966" s="64">
        <f t="shared" si="28"/>
        <v>-2.68590071113739E-3</v>
      </c>
      <c r="F966" s="74">
        <v>45852</v>
      </c>
      <c r="G966" s="40">
        <v>1570.3</v>
      </c>
      <c r="H966">
        <f t="shared" si="29"/>
        <v>-1.5424164524421635E-2</v>
      </c>
    </row>
    <row r="967" spans="2:8" x14ac:dyDescent="0.35">
      <c r="B967" s="74">
        <v>45853</v>
      </c>
      <c r="C967">
        <v>25195.8</v>
      </c>
      <c r="D967" s="64">
        <f t="shared" ref="D967:D1030" si="30">C967/C966-1</f>
        <v>4.5251033597397683E-3</v>
      </c>
      <c r="F967" s="74">
        <v>45853</v>
      </c>
      <c r="G967" s="40">
        <v>1585.6</v>
      </c>
      <c r="H967">
        <f t="shared" ref="H967:H1030" si="31">G967/G966-1</f>
        <v>9.7433611411832377E-3</v>
      </c>
    </row>
    <row r="968" spans="2:8" x14ac:dyDescent="0.35">
      <c r="B968" s="74">
        <v>45854</v>
      </c>
      <c r="C968">
        <v>25212.05</v>
      </c>
      <c r="D968" s="64">
        <f t="shared" si="30"/>
        <v>6.4494876130138934E-4</v>
      </c>
      <c r="F968" s="74">
        <v>45854</v>
      </c>
      <c r="G968" s="40">
        <v>1607.9</v>
      </c>
      <c r="H968">
        <f t="shared" si="31"/>
        <v>1.4064076690212035E-2</v>
      </c>
    </row>
    <row r="969" spans="2:8" x14ac:dyDescent="0.35">
      <c r="B969" s="74">
        <v>45855</v>
      </c>
      <c r="C969">
        <v>25111.45</v>
      </c>
      <c r="D969" s="64">
        <f t="shared" si="30"/>
        <v>-3.9901555010400935E-3</v>
      </c>
      <c r="F969" s="74">
        <v>45855</v>
      </c>
      <c r="G969" s="40">
        <v>1583.5</v>
      </c>
      <c r="H969">
        <f t="shared" si="31"/>
        <v>-1.5175073076683976E-2</v>
      </c>
    </row>
    <row r="970" spans="2:8" x14ac:dyDescent="0.35">
      <c r="B970" s="74">
        <v>45856</v>
      </c>
      <c r="C970">
        <v>24968.400000000001</v>
      </c>
      <c r="D970" s="64">
        <f t="shared" si="30"/>
        <v>-5.6966045369741813E-3</v>
      </c>
      <c r="F970" s="74">
        <v>45856</v>
      </c>
      <c r="G970" s="40">
        <v>1586.1</v>
      </c>
      <c r="H970">
        <f t="shared" si="31"/>
        <v>1.6419324281653491E-3</v>
      </c>
    </row>
    <row r="971" spans="2:8" x14ac:dyDescent="0.35">
      <c r="B971" s="74">
        <v>45859</v>
      </c>
      <c r="C971">
        <v>25090.7</v>
      </c>
      <c r="D971" s="64">
        <f t="shared" si="30"/>
        <v>4.8981913138206323E-3</v>
      </c>
      <c r="F971" s="74">
        <v>45859</v>
      </c>
      <c r="G971" s="40">
        <v>1584.3</v>
      </c>
      <c r="H971">
        <f t="shared" si="31"/>
        <v>-1.134859088329887E-3</v>
      </c>
    </row>
    <row r="972" spans="2:8" x14ac:dyDescent="0.35">
      <c r="B972" s="74">
        <v>45860</v>
      </c>
      <c r="C972">
        <v>25060.9</v>
      </c>
      <c r="D972" s="64">
        <f t="shared" si="30"/>
        <v>-1.1876910568456855E-3</v>
      </c>
      <c r="F972" s="74">
        <v>45860</v>
      </c>
      <c r="G972" s="40">
        <v>1570.9</v>
      </c>
      <c r="H972">
        <f t="shared" si="31"/>
        <v>-8.4579940667801612E-3</v>
      </c>
    </row>
    <row r="973" spans="2:8" x14ac:dyDescent="0.35">
      <c r="B973" s="74">
        <v>45861</v>
      </c>
      <c r="C973">
        <v>25219.9</v>
      </c>
      <c r="D973" s="64">
        <f t="shared" si="30"/>
        <v>6.3445446891372548E-3</v>
      </c>
      <c r="F973" s="74">
        <v>45861</v>
      </c>
      <c r="G973" s="40">
        <v>1574.5</v>
      </c>
      <c r="H973">
        <f t="shared" si="31"/>
        <v>2.2916799287031608E-3</v>
      </c>
    </row>
    <row r="974" spans="2:8" x14ac:dyDescent="0.35">
      <c r="B974" s="74">
        <v>45862</v>
      </c>
      <c r="C974">
        <v>25062.1</v>
      </c>
      <c r="D974" s="64">
        <f t="shared" si="30"/>
        <v>-6.2569637468825601E-3</v>
      </c>
      <c r="F974" s="74">
        <v>45862</v>
      </c>
      <c r="G974" s="40">
        <v>1552.5</v>
      </c>
      <c r="H974">
        <f t="shared" si="31"/>
        <v>-1.3972689742775435E-2</v>
      </c>
    </row>
    <row r="975" spans="2:8" x14ac:dyDescent="0.35">
      <c r="B975" s="74">
        <v>45863</v>
      </c>
      <c r="C975">
        <v>24837</v>
      </c>
      <c r="D975" s="64">
        <f t="shared" si="30"/>
        <v>-8.9816894833233407E-3</v>
      </c>
      <c r="F975" s="74">
        <v>45863</v>
      </c>
      <c r="G975" s="40">
        <v>1515.7</v>
      </c>
      <c r="H975">
        <f t="shared" si="31"/>
        <v>-2.3703703703703671E-2</v>
      </c>
    </row>
    <row r="976" spans="2:8" x14ac:dyDescent="0.35">
      <c r="B976" s="74">
        <v>45866</v>
      </c>
      <c r="C976">
        <v>24680.9</v>
      </c>
      <c r="D976" s="64">
        <f t="shared" si="30"/>
        <v>-6.2849780569311786E-3</v>
      </c>
      <c r="F976" s="74">
        <v>45866</v>
      </c>
      <c r="G976" s="40">
        <v>1516</v>
      </c>
      <c r="H976">
        <f t="shared" si="31"/>
        <v>1.9792834993737074E-4</v>
      </c>
    </row>
    <row r="977" spans="2:8" x14ac:dyDescent="0.35">
      <c r="B977" s="74">
        <v>45867</v>
      </c>
      <c r="C977">
        <v>24821.1</v>
      </c>
      <c r="D977" s="64">
        <f t="shared" si="30"/>
        <v>5.6805059783069378E-3</v>
      </c>
      <c r="F977" s="74">
        <v>45867</v>
      </c>
      <c r="G977" s="40">
        <v>1513.7</v>
      </c>
      <c r="H977">
        <f t="shared" si="31"/>
        <v>-1.5171503957783772E-3</v>
      </c>
    </row>
    <row r="978" spans="2:8" x14ac:dyDescent="0.35">
      <c r="B978" s="74">
        <v>45868</v>
      </c>
      <c r="C978">
        <v>24855.05</v>
      </c>
      <c r="D978" s="64">
        <f t="shared" si="30"/>
        <v>1.3677878901419138E-3</v>
      </c>
      <c r="F978" s="74">
        <v>45868</v>
      </c>
      <c r="G978" s="40">
        <v>1519</v>
      </c>
      <c r="H978">
        <f t="shared" si="31"/>
        <v>3.5013542974169365E-3</v>
      </c>
    </row>
    <row r="979" spans="2:8" x14ac:dyDescent="0.35">
      <c r="B979" s="74">
        <v>45869</v>
      </c>
      <c r="C979">
        <v>24768.35</v>
      </c>
      <c r="D979" s="64">
        <f t="shared" si="30"/>
        <v>-3.4882247269669708E-3</v>
      </c>
      <c r="F979" s="74">
        <v>45869</v>
      </c>
      <c r="G979" s="40">
        <v>1509</v>
      </c>
      <c r="H979">
        <f t="shared" si="31"/>
        <v>-6.5832784726793658E-3</v>
      </c>
    </row>
    <row r="980" spans="2:8" x14ac:dyDescent="0.35">
      <c r="B980" s="74">
        <v>45870</v>
      </c>
      <c r="C980">
        <v>24565.35</v>
      </c>
      <c r="D980" s="64">
        <f t="shared" si="30"/>
        <v>-8.195943613522938E-3</v>
      </c>
      <c r="F980" s="74">
        <v>45870</v>
      </c>
      <c r="G980" s="40">
        <v>1469.6</v>
      </c>
      <c r="H980">
        <f t="shared" si="31"/>
        <v>-2.6110006626905324E-2</v>
      </c>
    </row>
    <row r="981" spans="2:8" x14ac:dyDescent="0.35">
      <c r="B981" s="74">
        <v>45873</v>
      </c>
      <c r="C981">
        <v>24722.75</v>
      </c>
      <c r="D981" s="64">
        <f t="shared" si="30"/>
        <v>6.4073990397044422E-3</v>
      </c>
      <c r="F981" s="74">
        <v>45873</v>
      </c>
      <c r="G981" s="40">
        <v>1480.5</v>
      </c>
      <c r="H981">
        <f t="shared" si="31"/>
        <v>7.416984213391542E-3</v>
      </c>
    </row>
    <row r="982" spans="2:8" x14ac:dyDescent="0.35">
      <c r="B982" s="74">
        <v>45874</v>
      </c>
      <c r="C982">
        <v>24649.55</v>
      </c>
      <c r="D982" s="64">
        <f t="shared" si="30"/>
        <v>-2.9608356675532299E-3</v>
      </c>
      <c r="F982" s="74">
        <v>45874</v>
      </c>
      <c r="G982" s="40">
        <v>1460.3</v>
      </c>
      <c r="H982">
        <f t="shared" si="31"/>
        <v>-1.3644039175954137E-2</v>
      </c>
    </row>
    <row r="983" spans="2:8" x14ac:dyDescent="0.35">
      <c r="B983" s="74">
        <v>45875</v>
      </c>
      <c r="C983">
        <v>24574.2</v>
      </c>
      <c r="D983" s="64">
        <f t="shared" si="30"/>
        <v>-3.0568509364268248E-3</v>
      </c>
      <c r="F983" s="74">
        <v>45875</v>
      </c>
      <c r="G983" s="40">
        <v>1436.7</v>
      </c>
      <c r="H983">
        <f t="shared" si="31"/>
        <v>-1.6161062795315928E-2</v>
      </c>
    </row>
    <row r="984" spans="2:8" x14ac:dyDescent="0.35">
      <c r="B984" s="74">
        <v>45876</v>
      </c>
      <c r="C984">
        <v>24596.15</v>
      </c>
      <c r="D984" s="64">
        <f t="shared" si="30"/>
        <v>8.9321320734758736E-4</v>
      </c>
      <c r="F984" s="74">
        <v>45876</v>
      </c>
      <c r="G984" s="40">
        <v>1436.9</v>
      </c>
      <c r="H984">
        <f t="shared" si="31"/>
        <v>1.392079070090535E-4</v>
      </c>
    </row>
    <row r="985" spans="2:8" x14ac:dyDescent="0.35">
      <c r="B985" s="74">
        <v>45877</v>
      </c>
      <c r="C985">
        <v>24363.3</v>
      </c>
      <c r="D985" s="64">
        <f t="shared" si="30"/>
        <v>-9.4669287673071478E-3</v>
      </c>
      <c r="F985" s="74">
        <v>45877</v>
      </c>
      <c r="G985" s="40">
        <v>1423.1</v>
      </c>
      <c r="H985">
        <f t="shared" si="31"/>
        <v>-9.6040086296890204E-3</v>
      </c>
    </row>
    <row r="986" spans="2:8" x14ac:dyDescent="0.35">
      <c r="B986" s="74">
        <v>45880</v>
      </c>
      <c r="C986">
        <v>24585.05</v>
      </c>
      <c r="D986" s="64">
        <f t="shared" si="30"/>
        <v>9.1018047637225763E-3</v>
      </c>
      <c r="F986" s="74">
        <v>45880</v>
      </c>
      <c r="G986" s="40">
        <v>1428.2</v>
      </c>
      <c r="H986">
        <f t="shared" si="31"/>
        <v>3.5837256693136421E-3</v>
      </c>
    </row>
    <row r="987" spans="2:8" x14ac:dyDescent="0.35">
      <c r="B987" s="74">
        <v>45881</v>
      </c>
      <c r="C987">
        <v>24487.4</v>
      </c>
      <c r="D987" s="64">
        <f t="shared" si="30"/>
        <v>-3.9719260282162772E-3</v>
      </c>
      <c r="F987" s="74">
        <v>45881</v>
      </c>
      <c r="G987" s="40">
        <v>1424.1</v>
      </c>
      <c r="H987">
        <f t="shared" si="31"/>
        <v>-2.8707463940625955E-3</v>
      </c>
    </row>
    <row r="988" spans="2:8" x14ac:dyDescent="0.35">
      <c r="B988" s="74">
        <v>45882</v>
      </c>
      <c r="C988">
        <v>24619.35</v>
      </c>
      <c r="D988" s="64">
        <f t="shared" si="30"/>
        <v>5.3884855068320192E-3</v>
      </c>
      <c r="F988" s="74">
        <v>45882</v>
      </c>
      <c r="G988" s="40">
        <v>1426.6</v>
      </c>
      <c r="H988">
        <f t="shared" si="31"/>
        <v>1.7554946984059683E-3</v>
      </c>
    </row>
    <row r="989" spans="2:8" x14ac:dyDescent="0.35">
      <c r="B989" s="74">
        <v>45883</v>
      </c>
      <c r="C989">
        <v>24631.3</v>
      </c>
      <c r="D989" s="64">
        <f t="shared" si="30"/>
        <v>4.8539055661511732E-4</v>
      </c>
      <c r="F989" s="74">
        <v>45883</v>
      </c>
      <c r="G989" s="40">
        <v>1447.7</v>
      </c>
      <c r="H989">
        <f t="shared" si="31"/>
        <v>1.4790410766858386E-2</v>
      </c>
    </row>
    <row r="990" spans="2:8" x14ac:dyDescent="0.35">
      <c r="B990" s="74">
        <v>45887</v>
      </c>
      <c r="C990">
        <v>24876.95</v>
      </c>
      <c r="D990" s="64">
        <f t="shared" si="30"/>
        <v>9.9730830285045258E-3</v>
      </c>
      <c r="F990" s="74">
        <v>45887</v>
      </c>
      <c r="G990" s="40">
        <v>1435.8</v>
      </c>
      <c r="H990">
        <f t="shared" si="31"/>
        <v>-8.2199350694205364E-3</v>
      </c>
    </row>
    <row r="991" spans="2:8" x14ac:dyDescent="0.35">
      <c r="B991" s="74">
        <v>45888</v>
      </c>
      <c r="C991">
        <v>24980.65</v>
      </c>
      <c r="D991" s="64">
        <f t="shared" si="30"/>
        <v>4.1685174428538474E-3</v>
      </c>
      <c r="F991" s="74">
        <v>45888</v>
      </c>
      <c r="G991" s="40">
        <v>1440</v>
      </c>
      <c r="H991">
        <f t="shared" si="31"/>
        <v>2.9251984956122357E-3</v>
      </c>
    </row>
    <row r="992" spans="2:8" x14ac:dyDescent="0.35">
      <c r="B992" s="74">
        <v>45889</v>
      </c>
      <c r="C992">
        <v>25050.55</v>
      </c>
      <c r="D992" s="64">
        <f t="shared" si="30"/>
        <v>2.7981657803137772E-3</v>
      </c>
      <c r="F992" s="74">
        <v>45889</v>
      </c>
      <c r="G992" s="40">
        <v>1496.2</v>
      </c>
      <c r="H992">
        <f t="shared" si="31"/>
        <v>3.9027777777777883E-2</v>
      </c>
    </row>
    <row r="993" spans="2:8" x14ac:dyDescent="0.35">
      <c r="B993" s="74">
        <v>45890</v>
      </c>
      <c r="C993">
        <v>25083.75</v>
      </c>
      <c r="D993" s="64">
        <f t="shared" si="30"/>
        <v>1.3253202025504951E-3</v>
      </c>
      <c r="F993" s="74">
        <v>45890</v>
      </c>
      <c r="G993" s="40">
        <v>1496.4</v>
      </c>
      <c r="H993">
        <f t="shared" si="31"/>
        <v>1.3367196898816935E-4</v>
      </c>
    </row>
    <row r="994" spans="2:8" x14ac:dyDescent="0.35">
      <c r="B994" s="74">
        <v>45891</v>
      </c>
      <c r="C994">
        <v>24870.1</v>
      </c>
      <c r="D994" s="64">
        <f t="shared" si="30"/>
        <v>-8.5174664872676997E-3</v>
      </c>
      <c r="F994" s="74">
        <v>45891</v>
      </c>
      <c r="G994" s="40">
        <v>1487.5</v>
      </c>
      <c r="H994">
        <f t="shared" si="31"/>
        <v>-5.9476075915531057E-3</v>
      </c>
    </row>
    <row r="995" spans="2:8" x14ac:dyDescent="0.35">
      <c r="B995" s="74">
        <v>45894</v>
      </c>
      <c r="C995">
        <v>24967.75</v>
      </c>
      <c r="D995" s="64">
        <f t="shared" si="30"/>
        <v>3.9264015826234733E-3</v>
      </c>
      <c r="F995" s="74">
        <v>45894</v>
      </c>
      <c r="G995" s="40">
        <v>1532.1</v>
      </c>
      <c r="H995">
        <f t="shared" si="31"/>
        <v>2.9983193277310916E-2</v>
      </c>
    </row>
    <row r="996" spans="2:8" x14ac:dyDescent="0.35">
      <c r="B996" s="74">
        <v>45895</v>
      </c>
      <c r="C996">
        <v>24712.05</v>
      </c>
      <c r="D996" s="64">
        <f t="shared" si="30"/>
        <v>-1.0241211162399511E-2</v>
      </c>
      <c r="F996" s="74">
        <v>45895</v>
      </c>
      <c r="G996" s="40">
        <v>1529.6</v>
      </c>
      <c r="H996">
        <f t="shared" si="31"/>
        <v>-1.6317472749820539E-3</v>
      </c>
    </row>
    <row r="997" spans="2:8" x14ac:dyDescent="0.35">
      <c r="B997" s="74">
        <v>45897</v>
      </c>
      <c r="C997">
        <v>24500.9</v>
      </c>
      <c r="D997" s="64">
        <f t="shared" si="30"/>
        <v>-8.5444145669824056E-3</v>
      </c>
      <c r="F997" s="74">
        <v>45897</v>
      </c>
      <c r="G997" s="40">
        <v>1500.1</v>
      </c>
      <c r="H997">
        <f t="shared" si="31"/>
        <v>-1.9286087866108748E-2</v>
      </c>
    </row>
    <row r="998" spans="2:8" x14ac:dyDescent="0.35">
      <c r="B998" s="74">
        <v>45898</v>
      </c>
      <c r="C998">
        <v>24426.85</v>
      </c>
      <c r="D998" s="64">
        <f t="shared" si="30"/>
        <v>-3.0223379549323415E-3</v>
      </c>
      <c r="F998" s="74">
        <v>45898</v>
      </c>
      <c r="G998" s="40">
        <v>1469.6</v>
      </c>
      <c r="H998">
        <f t="shared" si="31"/>
        <v>-2.0331977868142115E-2</v>
      </c>
    </row>
    <row r="999" spans="2:8" x14ac:dyDescent="0.35">
      <c r="B999" s="74">
        <v>45901</v>
      </c>
      <c r="C999">
        <v>24625.05</v>
      </c>
      <c r="D999" s="64">
        <f t="shared" si="30"/>
        <v>8.1140220699762455E-3</v>
      </c>
      <c r="F999" s="74">
        <v>45901</v>
      </c>
      <c r="G999" s="40">
        <v>1499.4</v>
      </c>
      <c r="H999">
        <f t="shared" si="31"/>
        <v>2.0277626565051943E-2</v>
      </c>
    </row>
    <row r="1000" spans="2:8" x14ac:dyDescent="0.35">
      <c r="B1000" s="74">
        <v>45902</v>
      </c>
      <c r="C1000">
        <v>24579.599999999999</v>
      </c>
      <c r="D1000" s="64">
        <f t="shared" si="30"/>
        <v>-1.8456815316111319E-3</v>
      </c>
      <c r="F1000" s="74">
        <v>45902</v>
      </c>
      <c r="G1000" s="40">
        <v>1498.7</v>
      </c>
      <c r="H1000">
        <f t="shared" si="31"/>
        <v>-4.6685340802987696E-4</v>
      </c>
    </row>
    <row r="1001" spans="2:8" x14ac:dyDescent="0.35">
      <c r="B1001" s="74">
        <v>45903</v>
      </c>
      <c r="C1001">
        <v>24715.05</v>
      </c>
      <c r="D1001" s="64">
        <f t="shared" si="30"/>
        <v>5.510667382707668E-3</v>
      </c>
      <c r="F1001" s="74">
        <v>45903</v>
      </c>
      <c r="G1001" s="40">
        <v>1479.1</v>
      </c>
      <c r="H1001">
        <f t="shared" si="31"/>
        <v>-1.3078000934143019E-2</v>
      </c>
    </row>
    <row r="1002" spans="2:8" x14ac:dyDescent="0.35">
      <c r="B1002" s="74">
        <v>45904</v>
      </c>
      <c r="C1002">
        <v>24734.3</v>
      </c>
      <c r="D1002" s="64">
        <f t="shared" si="30"/>
        <v>7.7887764742534671E-4</v>
      </c>
      <c r="F1002" s="74">
        <v>45904</v>
      </c>
      <c r="G1002" s="40">
        <v>1463</v>
      </c>
      <c r="H1002">
        <f t="shared" si="31"/>
        <v>-1.0884997633696103E-2</v>
      </c>
    </row>
    <row r="1003" spans="2:8" x14ac:dyDescent="0.35">
      <c r="B1003" s="74">
        <v>45905</v>
      </c>
      <c r="C1003">
        <v>24741</v>
      </c>
      <c r="D1003" s="64">
        <f t="shared" si="30"/>
        <v>2.7087890095933709E-4</v>
      </c>
      <c r="F1003" s="74">
        <v>45905</v>
      </c>
      <c r="G1003" s="40">
        <v>1444.6</v>
      </c>
      <c r="H1003">
        <f t="shared" si="31"/>
        <v>-1.2576896787423131E-2</v>
      </c>
    </row>
    <row r="1004" spans="2:8" x14ac:dyDescent="0.35">
      <c r="B1004" s="74">
        <v>45908</v>
      </c>
      <c r="C1004">
        <v>24773.15</v>
      </c>
      <c r="D1004" s="64">
        <f t="shared" si="30"/>
        <v>1.2994624307829383E-3</v>
      </c>
      <c r="F1004" s="74">
        <v>45908</v>
      </c>
      <c r="G1004" s="40">
        <v>1432.9</v>
      </c>
      <c r="H1004">
        <f t="shared" si="31"/>
        <v>-8.0991277862382249E-3</v>
      </c>
    </row>
    <row r="1005" spans="2:8" x14ac:dyDescent="0.35">
      <c r="B1005" s="74">
        <v>45909</v>
      </c>
      <c r="C1005">
        <v>24868.6</v>
      </c>
      <c r="D1005" s="64">
        <f t="shared" si="30"/>
        <v>3.8529617751474898E-3</v>
      </c>
      <c r="F1005" s="74">
        <v>45909</v>
      </c>
      <c r="G1005" s="40">
        <v>1504.3</v>
      </c>
      <c r="H1005">
        <f t="shared" si="31"/>
        <v>4.9829018075231879E-2</v>
      </c>
    </row>
    <row r="1006" spans="2:8" x14ac:dyDescent="0.35">
      <c r="B1006" s="74">
        <v>45910</v>
      </c>
      <c r="C1006">
        <v>24973.1</v>
      </c>
      <c r="D1006" s="64">
        <f t="shared" si="30"/>
        <v>4.2020861648826013E-3</v>
      </c>
      <c r="F1006" s="74">
        <v>45910</v>
      </c>
      <c r="G1006" s="40">
        <v>1532.6</v>
      </c>
      <c r="H1006">
        <f t="shared" si="31"/>
        <v>1.8812736821112841E-2</v>
      </c>
    </row>
    <row r="1007" spans="2:8" x14ac:dyDescent="0.35">
      <c r="B1007" s="74">
        <v>45911</v>
      </c>
      <c r="C1007">
        <v>25005.5</v>
      </c>
      <c r="D1007" s="64">
        <f t="shared" si="30"/>
        <v>1.2973959980939753E-3</v>
      </c>
      <c r="F1007" s="74">
        <v>45911</v>
      </c>
      <c r="G1007" s="40">
        <v>1509.7</v>
      </c>
      <c r="H1007">
        <f t="shared" si="31"/>
        <v>-1.4941928748531841E-2</v>
      </c>
    </row>
    <row r="1008" spans="2:8" x14ac:dyDescent="0.35">
      <c r="B1008" s="74">
        <v>45912</v>
      </c>
      <c r="C1008">
        <v>25114</v>
      </c>
      <c r="D1008" s="64">
        <f t="shared" si="30"/>
        <v>4.3390454100098452E-3</v>
      </c>
      <c r="F1008" s="74">
        <v>45912</v>
      </c>
      <c r="G1008" s="40">
        <v>1525.6</v>
      </c>
      <c r="H1008">
        <f t="shared" si="31"/>
        <v>1.0531893753725763E-2</v>
      </c>
    </row>
    <row r="1009" spans="2:8" x14ac:dyDescent="0.35">
      <c r="B1009" s="74">
        <v>45915</v>
      </c>
      <c r="C1009">
        <v>25069.200000000001</v>
      </c>
      <c r="D1009" s="64">
        <f t="shared" si="30"/>
        <v>-1.7838655729871533E-3</v>
      </c>
      <c r="F1009" s="74">
        <v>45915</v>
      </c>
      <c r="G1009" s="40">
        <v>1508.4</v>
      </c>
      <c r="H1009">
        <f t="shared" si="31"/>
        <v>-1.1274252753015079E-2</v>
      </c>
    </row>
    <row r="1010" spans="2:8" x14ac:dyDescent="0.35">
      <c r="B1010" s="74">
        <v>45916</v>
      </c>
      <c r="C1010">
        <v>25239.1</v>
      </c>
      <c r="D1010" s="64">
        <f t="shared" si="30"/>
        <v>6.7772405980246475E-3</v>
      </c>
      <c r="F1010" s="74">
        <v>45916</v>
      </c>
      <c r="G1010" s="40">
        <v>1511.3</v>
      </c>
      <c r="H1010">
        <f t="shared" si="31"/>
        <v>1.9225669583664562E-3</v>
      </c>
    </row>
    <row r="1011" spans="2:8" x14ac:dyDescent="0.35">
      <c r="B1011" s="74">
        <v>45917</v>
      </c>
      <c r="C1011">
        <v>25330.25</v>
      </c>
      <c r="D1011" s="64">
        <f t="shared" si="30"/>
        <v>3.6114599965926253E-3</v>
      </c>
      <c r="F1011" s="74">
        <v>45917</v>
      </c>
      <c r="G1011" s="40">
        <v>1522.4</v>
      </c>
      <c r="H1011">
        <f t="shared" si="31"/>
        <v>7.3446701515251789E-3</v>
      </c>
    </row>
    <row r="1012" spans="2:8" x14ac:dyDescent="0.35">
      <c r="B1012" s="74">
        <v>45918</v>
      </c>
      <c r="C1012">
        <v>25423.599999999999</v>
      </c>
      <c r="D1012" s="64">
        <f t="shared" si="30"/>
        <v>3.685316962919849E-3</v>
      </c>
      <c r="F1012" s="74">
        <v>45918</v>
      </c>
      <c r="G1012" s="40">
        <v>1540.6</v>
      </c>
      <c r="H1012">
        <f t="shared" si="31"/>
        <v>1.1954808197582656E-2</v>
      </c>
    </row>
    <row r="1013" spans="2:8" x14ac:dyDescent="0.35">
      <c r="B1013" s="74">
        <v>45919</v>
      </c>
      <c r="C1013">
        <v>25327.05</v>
      </c>
      <c r="D1013" s="64">
        <f t="shared" si="30"/>
        <v>-3.7976525747730472E-3</v>
      </c>
      <c r="F1013" s="74">
        <v>45919</v>
      </c>
      <c r="G1013" s="40">
        <v>1540.2</v>
      </c>
      <c r="H1013">
        <f t="shared" si="31"/>
        <v>-2.5963910164861215E-4</v>
      </c>
    </row>
    <row r="1014" spans="2:8" x14ac:dyDescent="0.35">
      <c r="B1014" s="74">
        <v>45922</v>
      </c>
      <c r="C1014">
        <v>25202.35</v>
      </c>
      <c r="D1014" s="64">
        <f t="shared" si="30"/>
        <v>-4.9235896008418267E-3</v>
      </c>
      <c r="F1014" s="74">
        <v>45922</v>
      </c>
      <c r="G1014" s="40">
        <v>1499.5</v>
      </c>
      <c r="H1014">
        <f t="shared" si="31"/>
        <v>-2.6425139592260782E-2</v>
      </c>
    </row>
    <row r="1015" spans="2:8" x14ac:dyDescent="0.35">
      <c r="B1015" s="74">
        <v>45923</v>
      </c>
      <c r="C1015">
        <v>25169.5</v>
      </c>
      <c r="D1015" s="64">
        <f t="shared" si="30"/>
        <v>-1.3034498766979485E-3</v>
      </c>
      <c r="F1015" s="74">
        <v>45923</v>
      </c>
      <c r="G1015" s="40">
        <v>1497.5</v>
      </c>
      <c r="H1015">
        <f t="shared" si="31"/>
        <v>-1.3337779259753324E-3</v>
      </c>
    </row>
    <row r="1016" spans="2:8" x14ac:dyDescent="0.35">
      <c r="B1016" s="74">
        <v>45924</v>
      </c>
      <c r="C1016">
        <v>25056.9</v>
      </c>
      <c r="D1016" s="64">
        <f t="shared" si="30"/>
        <v>-4.4736685273842891E-3</v>
      </c>
      <c r="F1016" s="74">
        <v>45924</v>
      </c>
      <c r="G1016" s="40">
        <v>1494.6</v>
      </c>
      <c r="H1016">
        <f t="shared" si="31"/>
        <v>-1.9365609348915847E-3</v>
      </c>
    </row>
    <row r="1017" spans="2:8" x14ac:dyDescent="0.35">
      <c r="B1017" s="74">
        <v>45925</v>
      </c>
      <c r="C1017">
        <v>24890.85</v>
      </c>
      <c r="D1017" s="64">
        <f t="shared" si="30"/>
        <v>-6.6269171365972435E-3</v>
      </c>
      <c r="F1017" s="74">
        <v>45925</v>
      </c>
      <c r="G1017" s="40">
        <v>1484.8</v>
      </c>
      <c r="H1017">
        <f t="shared" si="31"/>
        <v>-6.5569383112538127E-3</v>
      </c>
    </row>
    <row r="1018" spans="2:8" x14ac:dyDescent="0.35">
      <c r="B1018" s="74">
        <v>45926</v>
      </c>
      <c r="C1018">
        <v>24654.7</v>
      </c>
      <c r="D1018" s="64">
        <f t="shared" si="30"/>
        <v>-9.4874220848222279E-3</v>
      </c>
      <c r="F1018" s="74">
        <v>45926</v>
      </c>
      <c r="G1018" s="40">
        <v>1448.9</v>
      </c>
      <c r="H1018">
        <f t="shared" si="31"/>
        <v>-2.4178340517241326E-2</v>
      </c>
    </row>
    <row r="1019" spans="2:8" x14ac:dyDescent="0.35">
      <c r="B1019" s="74">
        <v>45929</v>
      </c>
      <c r="C1019">
        <v>24634.9</v>
      </c>
      <c r="D1019" s="64">
        <f t="shared" si="30"/>
        <v>-8.0309231099950917E-4</v>
      </c>
      <c r="F1019" s="74">
        <v>45929</v>
      </c>
      <c r="G1019" s="40">
        <v>1441.8</v>
      </c>
      <c r="H1019">
        <f t="shared" si="31"/>
        <v>-4.900269169715088E-3</v>
      </c>
    </row>
    <row r="1020" spans="2:8" x14ac:dyDescent="0.35">
      <c r="B1020" s="74">
        <v>45930</v>
      </c>
      <c r="C1020">
        <v>24611.1</v>
      </c>
      <c r="D1020" s="64">
        <f t="shared" si="30"/>
        <v>-9.6610905666361102E-4</v>
      </c>
      <c r="F1020" s="74">
        <v>45930</v>
      </c>
      <c r="G1020" s="40">
        <v>1441.8</v>
      </c>
      <c r="H1020">
        <f t="shared" si="31"/>
        <v>0</v>
      </c>
    </row>
    <row r="1021" spans="2:8" x14ac:dyDescent="0.35">
      <c r="B1021" s="74">
        <v>45931</v>
      </c>
      <c r="C1021">
        <v>24836.3</v>
      </c>
      <c r="D1021" s="64">
        <f t="shared" si="30"/>
        <v>9.1503427315318131E-3</v>
      </c>
      <c r="F1021" s="74">
        <v>45931</v>
      </c>
      <c r="G1021" s="40">
        <v>1445.8</v>
      </c>
      <c r="H1021">
        <f t="shared" si="31"/>
        <v>2.7743098904147168E-3</v>
      </c>
    </row>
    <row r="1022" spans="2:8" x14ac:dyDescent="0.35">
      <c r="B1022" s="74">
        <v>45933</v>
      </c>
      <c r="C1022">
        <v>24894.25</v>
      </c>
      <c r="D1022" s="64">
        <f t="shared" si="30"/>
        <v>2.3332783063501061E-3</v>
      </c>
      <c r="F1022" s="74">
        <v>45933</v>
      </c>
      <c r="G1022" s="40">
        <v>1446.6</v>
      </c>
      <c r="H1022">
        <f t="shared" si="31"/>
        <v>5.5332687785303314E-4</v>
      </c>
    </row>
    <row r="1023" spans="2:8" x14ac:dyDescent="0.35">
      <c r="B1023" s="74">
        <v>45936</v>
      </c>
      <c r="C1023">
        <v>25077.65</v>
      </c>
      <c r="D1023" s="64">
        <f t="shared" si="30"/>
        <v>7.3671630999125881E-3</v>
      </c>
      <c r="F1023" s="74">
        <v>45936</v>
      </c>
      <c r="G1023" s="40">
        <v>1476</v>
      </c>
      <c r="H1023">
        <f t="shared" si="31"/>
        <v>2.0323517212774922E-2</v>
      </c>
    </row>
    <row r="1024" spans="2:8" x14ac:dyDescent="0.35">
      <c r="B1024" s="74">
        <v>45937</v>
      </c>
      <c r="C1024">
        <v>25108.3</v>
      </c>
      <c r="D1024" s="64">
        <f t="shared" si="30"/>
        <v>1.222203834888802E-3</v>
      </c>
      <c r="F1024" s="74">
        <v>45937</v>
      </c>
      <c r="G1024" s="40">
        <v>1458.5</v>
      </c>
      <c r="H1024">
        <f t="shared" si="31"/>
        <v>-1.185636856368566E-2</v>
      </c>
    </row>
    <row r="1025" spans="2:8" x14ac:dyDescent="0.35">
      <c r="B1025" s="74">
        <v>45938</v>
      </c>
      <c r="C1025">
        <v>25046.15</v>
      </c>
      <c r="D1025" s="64">
        <f t="shared" si="30"/>
        <v>-2.4752770996043783E-3</v>
      </c>
      <c r="F1025" s="74">
        <v>45938</v>
      </c>
      <c r="G1025" s="40">
        <v>1495</v>
      </c>
      <c r="H1025">
        <f t="shared" si="31"/>
        <v>2.5025711347274493E-2</v>
      </c>
    </row>
    <row r="1026" spans="2:8" x14ac:dyDescent="0.35">
      <c r="B1026" s="74">
        <v>45939</v>
      </c>
      <c r="C1026">
        <v>25181.8</v>
      </c>
      <c r="D1026" s="64">
        <f t="shared" si="30"/>
        <v>5.4160020601967673E-3</v>
      </c>
      <c r="F1026" s="74">
        <v>45939</v>
      </c>
      <c r="G1026" s="40">
        <v>1509.3</v>
      </c>
      <c r="H1026">
        <f t="shared" si="31"/>
        <v>9.565217391304337E-3</v>
      </c>
    </row>
    <row r="1027" spans="2:8" x14ac:dyDescent="0.35">
      <c r="B1027" s="74">
        <v>45940</v>
      </c>
      <c r="C1027">
        <v>25285.35</v>
      </c>
      <c r="D1027" s="64">
        <f t="shared" si="30"/>
        <v>4.1120968318388851E-3</v>
      </c>
      <c r="F1027" s="74">
        <v>45940</v>
      </c>
      <c r="G1027" s="40">
        <v>1514.9</v>
      </c>
      <c r="H1027">
        <f t="shared" si="31"/>
        <v>3.7103292917246566E-3</v>
      </c>
    </row>
    <row r="1028" spans="2:8" x14ac:dyDescent="0.35">
      <c r="B1028" s="74">
        <v>45943</v>
      </c>
      <c r="C1028">
        <v>25227.35</v>
      </c>
      <c r="D1028" s="64">
        <f t="shared" si="30"/>
        <v>-2.2938183572701609E-3</v>
      </c>
      <c r="F1028" s="74">
        <v>45943</v>
      </c>
      <c r="G1028" s="40">
        <v>1493.2</v>
      </c>
      <c r="H1028">
        <f t="shared" si="31"/>
        <v>-1.432437784672258E-2</v>
      </c>
    </row>
    <row r="1029" spans="2:8" x14ac:dyDescent="0.35">
      <c r="B1029" s="74">
        <v>45944</v>
      </c>
      <c r="C1029">
        <v>25145.5</v>
      </c>
      <c r="D1029" s="64">
        <f t="shared" si="30"/>
        <v>-3.2444945664129587E-3</v>
      </c>
      <c r="F1029" s="74">
        <v>45944</v>
      </c>
      <c r="G1029" s="40">
        <v>1489.9</v>
      </c>
      <c r="H1029">
        <f t="shared" si="31"/>
        <v>-2.2100187516742587E-3</v>
      </c>
    </row>
    <row r="1030" spans="2:8" x14ac:dyDescent="0.35">
      <c r="B1030" s="74">
        <v>45945</v>
      </c>
      <c r="C1030">
        <v>25323.55</v>
      </c>
      <c r="D1030" s="64">
        <f t="shared" si="30"/>
        <v>7.0807898033444783E-3</v>
      </c>
      <c r="F1030" s="74">
        <v>45945</v>
      </c>
      <c r="G1030" s="40">
        <v>1474.4</v>
      </c>
      <c r="H1030">
        <f t="shared" si="31"/>
        <v>-1.0403382777367631E-2</v>
      </c>
    </row>
    <row r="1031" spans="2:8" x14ac:dyDescent="0.35">
      <c r="B1031" s="74">
        <v>45946</v>
      </c>
      <c r="C1031">
        <v>25585.3</v>
      </c>
      <c r="D1031" s="64">
        <f t="shared" ref="D1031:D1094" si="32">C1031/C1030-1</f>
        <v>1.0336228530360092E-2</v>
      </c>
      <c r="F1031" s="74">
        <v>45946</v>
      </c>
      <c r="G1031" s="40">
        <v>1471.5</v>
      </c>
      <c r="H1031">
        <f t="shared" ref="H1031:H1094" si="33">G1031/G1030-1</f>
        <v>-1.966901790558917E-3</v>
      </c>
    </row>
    <row r="1032" spans="2:8" x14ac:dyDescent="0.35">
      <c r="B1032" s="74">
        <v>45947</v>
      </c>
      <c r="C1032">
        <v>25709.85</v>
      </c>
      <c r="D1032" s="64">
        <f t="shared" si="32"/>
        <v>4.8680296889229702E-3</v>
      </c>
      <c r="F1032" s="74">
        <v>45947</v>
      </c>
      <c r="G1032" s="40">
        <v>1441.1</v>
      </c>
      <c r="H1032">
        <f t="shared" si="33"/>
        <v>-2.0659191301393154E-2</v>
      </c>
    </row>
    <row r="1033" spans="2:8" x14ac:dyDescent="0.35">
      <c r="B1033" s="74">
        <v>45950</v>
      </c>
      <c r="C1033">
        <v>25843.15</v>
      </c>
      <c r="D1033" s="64">
        <f t="shared" si="32"/>
        <v>5.1847832640019575E-3</v>
      </c>
      <c r="F1033" s="74">
        <v>45950</v>
      </c>
      <c r="G1033" s="40">
        <v>1460.9</v>
      </c>
      <c r="H1033">
        <f t="shared" si="33"/>
        <v>1.373950454513917E-2</v>
      </c>
    </row>
    <row r="1034" spans="2:8" x14ac:dyDescent="0.35">
      <c r="B1034" s="74">
        <v>45951</v>
      </c>
      <c r="C1034">
        <v>25868.6</v>
      </c>
      <c r="D1034" s="64">
        <f t="shared" si="32"/>
        <v>9.8478707123539344E-4</v>
      </c>
      <c r="F1034" s="74">
        <v>45951</v>
      </c>
      <c r="G1034" s="40">
        <v>1472.4</v>
      </c>
      <c r="H1034">
        <f t="shared" si="33"/>
        <v>7.8718598124443151E-3</v>
      </c>
    </row>
    <row r="1035" spans="2:8" x14ac:dyDescent="0.35">
      <c r="B1035" s="74">
        <v>45953</v>
      </c>
      <c r="C1035">
        <v>25891.4</v>
      </c>
      <c r="D1035" s="64">
        <f t="shared" si="32"/>
        <v>8.8137742282157205E-4</v>
      </c>
      <c r="F1035" s="74">
        <v>45953</v>
      </c>
      <c r="G1035" s="40">
        <v>1528.5</v>
      </c>
      <c r="H1035">
        <f t="shared" si="33"/>
        <v>3.8101059494702438E-2</v>
      </c>
    </row>
    <row r="1036" spans="2:8" x14ac:dyDescent="0.35">
      <c r="B1036" s="74">
        <v>45954</v>
      </c>
      <c r="C1036">
        <v>25795.15</v>
      </c>
      <c r="D1036" s="64">
        <f t="shared" si="32"/>
        <v>-3.7174505820465331E-3</v>
      </c>
      <c r="F1036" s="74">
        <v>45954</v>
      </c>
      <c r="G1036" s="40">
        <v>1525.4</v>
      </c>
      <c r="H1036">
        <f t="shared" si="33"/>
        <v>-2.0281321557081844E-3</v>
      </c>
    </row>
    <row r="1037" spans="2:8" x14ac:dyDescent="0.35">
      <c r="B1037" s="74">
        <v>45957</v>
      </c>
      <c r="C1037">
        <v>25966.05</v>
      </c>
      <c r="D1037" s="64">
        <f t="shared" si="32"/>
        <v>6.6252764570082778E-3</v>
      </c>
      <c r="F1037" s="74">
        <v>45957</v>
      </c>
      <c r="G1037" s="40">
        <v>1504.5</v>
      </c>
      <c r="H1037">
        <f t="shared" si="33"/>
        <v>-1.3701324242821666E-2</v>
      </c>
    </row>
    <row r="1038" spans="2:8" x14ac:dyDescent="0.35">
      <c r="B1038" s="74">
        <v>45958</v>
      </c>
      <c r="C1038">
        <v>25936.2</v>
      </c>
      <c r="D1038" s="64">
        <f t="shared" si="32"/>
        <v>-1.1495780066663741E-3</v>
      </c>
      <c r="F1038" s="74">
        <v>45958</v>
      </c>
      <c r="G1038" s="40">
        <v>1500.2</v>
      </c>
      <c r="H1038">
        <f t="shared" si="33"/>
        <v>-2.8580923894981902E-3</v>
      </c>
    </row>
    <row r="1039" spans="2:8" x14ac:dyDescent="0.35">
      <c r="B1039" s="74">
        <v>45959</v>
      </c>
      <c r="C1039">
        <v>26053.9</v>
      </c>
      <c r="D1039" s="64">
        <f t="shared" si="32"/>
        <v>4.5380587749941359E-3</v>
      </c>
      <c r="F1039" s="74">
        <v>45959</v>
      </c>
      <c r="G1039" s="40">
        <v>1510.4</v>
      </c>
      <c r="H1039">
        <f t="shared" si="33"/>
        <v>6.799093454206151E-3</v>
      </c>
    </row>
    <row r="1040" spans="2:8" x14ac:dyDescent="0.35">
      <c r="B1040" s="74">
        <v>45960</v>
      </c>
      <c r="C1040">
        <v>25877.85</v>
      </c>
      <c r="D1040" s="64">
        <f t="shared" si="32"/>
        <v>-6.7571457632064069E-3</v>
      </c>
      <c r="F1040" s="74">
        <v>45960</v>
      </c>
      <c r="G1040" s="40">
        <v>1493.8</v>
      </c>
      <c r="H1040">
        <f t="shared" si="33"/>
        <v>-1.0990466101694962E-2</v>
      </c>
    </row>
    <row r="1041" spans="2:8" x14ac:dyDescent="0.35">
      <c r="B1041" s="74">
        <v>45961</v>
      </c>
      <c r="C1041">
        <v>25722.1</v>
      </c>
      <c r="D1041" s="64">
        <f t="shared" si="32"/>
        <v>-6.0186607465457787E-3</v>
      </c>
      <c r="F1041" s="74">
        <v>45961</v>
      </c>
      <c r="G1041" s="40">
        <v>1482.3</v>
      </c>
      <c r="H1041">
        <f t="shared" si="33"/>
        <v>-7.6984870799303717E-3</v>
      </c>
    </row>
    <row r="1042" spans="2:8" x14ac:dyDescent="0.35">
      <c r="B1042" s="74">
        <v>45964</v>
      </c>
      <c r="C1042">
        <v>25763.35</v>
      </c>
      <c r="D1042" s="64">
        <f t="shared" si="32"/>
        <v>1.6036793263380922E-3</v>
      </c>
      <c r="F1042" s="74">
        <v>45964</v>
      </c>
      <c r="G1042" s="40">
        <v>1485.5</v>
      </c>
      <c r="H1042">
        <f t="shared" si="33"/>
        <v>2.1588072589895368E-3</v>
      </c>
    </row>
    <row r="1043" spans="2:8" x14ac:dyDescent="0.35">
      <c r="B1043" s="74">
        <v>45965</v>
      </c>
      <c r="C1043">
        <v>25597.65</v>
      </c>
      <c r="D1043" s="64">
        <f t="shared" si="32"/>
        <v>-6.4316170063286604E-3</v>
      </c>
      <c r="F1043" s="74">
        <v>45965</v>
      </c>
      <c r="G1043" s="40">
        <v>1467.9</v>
      </c>
      <c r="H1043">
        <f t="shared" si="33"/>
        <v>-1.184786267250082E-2</v>
      </c>
    </row>
    <row r="1044" spans="2:8" x14ac:dyDescent="0.35">
      <c r="B1044" s="74">
        <v>45967</v>
      </c>
      <c r="C1044">
        <v>25509.7</v>
      </c>
      <c r="D1044" s="64">
        <f t="shared" si="32"/>
        <v>-3.4358622764198987E-3</v>
      </c>
      <c r="F1044" s="74">
        <v>45967</v>
      </c>
      <c r="G1044" s="40">
        <v>1466.7</v>
      </c>
      <c r="H1044">
        <f t="shared" si="33"/>
        <v>-8.1749437972622463E-4</v>
      </c>
    </row>
    <row r="1045" spans="2:8" x14ac:dyDescent="0.35">
      <c r="B1045" s="74">
        <v>45968</v>
      </c>
      <c r="C1045">
        <v>25492.3</v>
      </c>
      <c r="D1045" s="64">
        <f t="shared" si="32"/>
        <v>-6.8209347816716726E-4</v>
      </c>
      <c r="F1045" s="74">
        <v>45968</v>
      </c>
      <c r="G1045" s="40">
        <v>1476.8</v>
      </c>
      <c r="H1045">
        <f t="shared" si="33"/>
        <v>6.886207131655997E-3</v>
      </c>
    </row>
    <row r="1046" spans="2:8" x14ac:dyDescent="0.35">
      <c r="B1046" s="74">
        <v>45971</v>
      </c>
      <c r="C1046">
        <v>25574.35</v>
      </c>
      <c r="D1046" s="64">
        <f t="shared" si="32"/>
        <v>3.2186189555276634E-3</v>
      </c>
      <c r="F1046" s="74">
        <v>45971</v>
      </c>
      <c r="G1046" s="40">
        <v>1513.5</v>
      </c>
      <c r="H1046">
        <f t="shared" si="33"/>
        <v>2.4851029252437762E-2</v>
      </c>
    </row>
    <row r="1047" spans="2:8" x14ac:dyDescent="0.35">
      <c r="B1047" s="74">
        <v>45972</v>
      </c>
      <c r="C1047">
        <v>25694.95</v>
      </c>
      <c r="D1047" s="64">
        <f t="shared" si="32"/>
        <v>4.7156623726507529E-3</v>
      </c>
      <c r="F1047" s="74">
        <v>45972</v>
      </c>
      <c r="G1047" s="40">
        <v>1530.3</v>
      </c>
      <c r="H1047">
        <f t="shared" si="33"/>
        <v>1.1100099108027672E-2</v>
      </c>
    </row>
    <row r="1048" spans="2:8" x14ac:dyDescent="0.35">
      <c r="B1048" s="74">
        <v>45973</v>
      </c>
      <c r="C1048">
        <v>25875.8</v>
      </c>
      <c r="D1048" s="64">
        <f t="shared" si="32"/>
        <v>7.0383480022337963E-3</v>
      </c>
      <c r="F1048" s="74">
        <v>45973</v>
      </c>
      <c r="G1048" s="40">
        <v>1551.7</v>
      </c>
      <c r="H1048">
        <f t="shared" si="33"/>
        <v>1.3984186107299346E-2</v>
      </c>
    </row>
    <row r="1049" spans="2:8" x14ac:dyDescent="0.35">
      <c r="B1049" s="74">
        <v>45974</v>
      </c>
      <c r="C1049">
        <v>25879.15</v>
      </c>
      <c r="D1049" s="64">
        <f t="shared" si="32"/>
        <v>1.2946459626372864E-4</v>
      </c>
      <c r="F1049" s="74">
        <v>45974</v>
      </c>
      <c r="G1049" s="40">
        <v>1541.8</v>
      </c>
      <c r="H1049">
        <f t="shared" si="33"/>
        <v>-6.3800992459883688E-3</v>
      </c>
    </row>
    <row r="1050" spans="2:8" x14ac:dyDescent="0.35">
      <c r="B1050" s="74">
        <v>45975</v>
      </c>
      <c r="C1050">
        <v>25910.05</v>
      </c>
      <c r="D1050" s="64">
        <f t="shared" si="32"/>
        <v>1.194011395273753E-3</v>
      </c>
      <c r="F1050" s="74">
        <v>45975</v>
      </c>
      <c r="G1050" s="40">
        <v>1502.8</v>
      </c>
      <c r="H1050">
        <f t="shared" si="33"/>
        <v>-2.5295109612141653E-2</v>
      </c>
    </row>
    <row r="1051" spans="2:8" x14ac:dyDescent="0.35">
      <c r="B1051" s="74">
        <v>45978</v>
      </c>
      <c r="C1051">
        <v>26013.45</v>
      </c>
      <c r="D1051" s="64">
        <f t="shared" si="32"/>
        <v>3.9907294659795589E-3</v>
      </c>
      <c r="F1051" s="74">
        <v>45978</v>
      </c>
      <c r="G1051" s="40">
        <v>1507.6</v>
      </c>
      <c r="H1051">
        <f t="shared" si="33"/>
        <v>3.1940377961139355E-3</v>
      </c>
    </row>
    <row r="1052" spans="2:8" x14ac:dyDescent="0.35">
      <c r="B1052" s="74">
        <v>45979</v>
      </c>
      <c r="C1052">
        <v>25910.05</v>
      </c>
      <c r="D1052" s="64">
        <f t="shared" si="32"/>
        <v>-3.9748668477268545E-3</v>
      </c>
      <c r="F1052" s="74">
        <v>45979</v>
      </c>
      <c r="G1052" s="40">
        <v>1486.4</v>
      </c>
      <c r="H1052">
        <f t="shared" si="33"/>
        <v>-1.4062085433801941E-2</v>
      </c>
    </row>
    <row r="1053" spans="2:8" x14ac:dyDescent="0.35">
      <c r="B1053" s="74">
        <v>45980</v>
      </c>
      <c r="C1053">
        <v>26052.65</v>
      </c>
      <c r="D1053" s="64">
        <f t="shared" si="32"/>
        <v>5.5036559172985111E-3</v>
      </c>
      <c r="F1053" s="74">
        <v>45980</v>
      </c>
      <c r="G1053" s="40">
        <v>1541.1</v>
      </c>
      <c r="H1053">
        <f t="shared" si="33"/>
        <v>3.680032292787927E-2</v>
      </c>
    </row>
    <row r="1054" spans="2:8" x14ac:dyDescent="0.35">
      <c r="B1054" s="74">
        <v>45981</v>
      </c>
      <c r="C1054">
        <v>26192.15</v>
      </c>
      <c r="D1054" s="64">
        <f t="shared" si="32"/>
        <v>5.3545416685059077E-3</v>
      </c>
      <c r="F1054" s="74">
        <v>45981</v>
      </c>
      <c r="G1054" s="40">
        <v>1536.5</v>
      </c>
      <c r="H1054">
        <f t="shared" si="33"/>
        <v>-2.9848809292063461E-3</v>
      </c>
    </row>
    <row r="1055" spans="2:8" x14ac:dyDescent="0.35">
      <c r="B1055" s="74">
        <v>45982</v>
      </c>
      <c r="C1055">
        <v>26068.15</v>
      </c>
      <c r="D1055" s="64">
        <f t="shared" si="32"/>
        <v>-4.7342428933859759E-3</v>
      </c>
      <c r="F1055" s="74">
        <v>45982</v>
      </c>
      <c r="G1055" s="40">
        <v>1545</v>
      </c>
      <c r="H1055">
        <f t="shared" si="33"/>
        <v>5.5320533680442985E-3</v>
      </c>
    </row>
    <row r="1056" spans="2:8" x14ac:dyDescent="0.35">
      <c r="B1056" s="74">
        <v>45985</v>
      </c>
      <c r="C1056">
        <v>25959.5</v>
      </c>
      <c r="D1056" s="64">
        <f t="shared" si="32"/>
        <v>-4.1679213906625767E-3</v>
      </c>
      <c r="F1056" s="74">
        <v>45985</v>
      </c>
      <c r="G1056" s="40">
        <v>1548</v>
      </c>
      <c r="H1056">
        <f t="shared" si="33"/>
        <v>1.9417475728156219E-3</v>
      </c>
    </row>
    <row r="1057" spans="2:8" x14ac:dyDescent="0.35">
      <c r="B1057" s="74">
        <v>45986</v>
      </c>
      <c r="C1057">
        <v>25884.799999999999</v>
      </c>
      <c r="D1057" s="64">
        <f t="shared" si="32"/>
        <v>-2.8775592750245327E-3</v>
      </c>
      <c r="F1057" s="74">
        <v>45986</v>
      </c>
      <c r="G1057" s="40">
        <v>1530.6</v>
      </c>
      <c r="H1057">
        <f t="shared" si="33"/>
        <v>-1.1240310077519466E-2</v>
      </c>
    </row>
    <row r="1058" spans="2:8" x14ac:dyDescent="0.35">
      <c r="B1058" s="74">
        <v>45987</v>
      </c>
      <c r="C1058">
        <v>26205.3</v>
      </c>
      <c r="D1058" s="64">
        <f t="shared" si="32"/>
        <v>1.238178390406719E-2</v>
      </c>
      <c r="F1058" s="74">
        <v>45987</v>
      </c>
      <c r="G1058" s="40">
        <v>1557.9</v>
      </c>
      <c r="H1058">
        <f t="shared" si="33"/>
        <v>1.7836142689141576E-2</v>
      </c>
    </row>
    <row r="1059" spans="2:8" x14ac:dyDescent="0.35">
      <c r="B1059" s="74">
        <v>45988</v>
      </c>
      <c r="C1059">
        <v>26215.55</v>
      </c>
      <c r="D1059" s="64">
        <f t="shared" si="32"/>
        <v>3.9114224985015156E-4</v>
      </c>
      <c r="F1059" s="74">
        <v>45988</v>
      </c>
      <c r="G1059" s="40">
        <v>1566.4</v>
      </c>
      <c r="H1059">
        <f t="shared" si="33"/>
        <v>5.4560626484370101E-3</v>
      </c>
    </row>
    <row r="1060" spans="2:8" x14ac:dyDescent="0.35">
      <c r="B1060" s="74">
        <v>45989</v>
      </c>
      <c r="C1060">
        <v>26202.95</v>
      </c>
      <c r="D1060" s="64">
        <f t="shared" si="32"/>
        <v>-4.806307706685109E-4</v>
      </c>
      <c r="F1060" s="74">
        <v>45989</v>
      </c>
      <c r="G1060" s="40">
        <v>1560.1</v>
      </c>
      <c r="H1060">
        <f t="shared" si="33"/>
        <v>-4.0219611848826275E-3</v>
      </c>
    </row>
    <row r="1061" spans="2:8" x14ac:dyDescent="0.35">
      <c r="B1061" s="74">
        <v>45992</v>
      </c>
      <c r="C1061">
        <v>26175.75</v>
      </c>
      <c r="D1061" s="64">
        <f t="shared" si="32"/>
        <v>-1.0380510591364578E-3</v>
      </c>
      <c r="F1061" s="74">
        <v>45992</v>
      </c>
      <c r="G1061" s="40">
        <v>1564</v>
      </c>
      <c r="H1061">
        <f t="shared" si="33"/>
        <v>2.4998397538620321E-3</v>
      </c>
    </row>
    <row r="1062" spans="2:8" x14ac:dyDescent="0.35">
      <c r="B1062" s="74">
        <v>45993</v>
      </c>
      <c r="C1062">
        <v>26032.2</v>
      </c>
      <c r="D1062" s="64">
        <f t="shared" si="32"/>
        <v>-5.4840835506145824E-3</v>
      </c>
      <c r="F1062" s="74">
        <v>45993</v>
      </c>
      <c r="G1062" s="40">
        <v>1561</v>
      </c>
      <c r="H1062">
        <f t="shared" si="33"/>
        <v>-1.9181585677748858E-3</v>
      </c>
    </row>
    <row r="1063" spans="2:8" x14ac:dyDescent="0.35">
      <c r="B1063" s="74">
        <v>45994</v>
      </c>
      <c r="C1063">
        <v>25986</v>
      </c>
      <c r="D1063" s="64">
        <f t="shared" si="32"/>
        <v>-1.7747251480858539E-3</v>
      </c>
      <c r="F1063" s="74">
        <v>45994</v>
      </c>
      <c r="G1063" s="40">
        <v>1578.7</v>
      </c>
      <c r="H1063">
        <f t="shared" si="33"/>
        <v>1.1338885329916781E-2</v>
      </c>
    </row>
    <row r="1064" spans="2:8" x14ac:dyDescent="0.35">
      <c r="B1064" s="74">
        <v>45995</v>
      </c>
      <c r="C1064">
        <v>26033.75</v>
      </c>
      <c r="D1064" s="64">
        <f t="shared" si="32"/>
        <v>1.8375278996383138E-3</v>
      </c>
      <c r="F1064" s="74">
        <v>45995</v>
      </c>
      <c r="G1064" s="40">
        <v>1597.6</v>
      </c>
      <c r="H1064">
        <f t="shared" si="33"/>
        <v>1.197187559384294E-2</v>
      </c>
    </row>
    <row r="1065" spans="2:8" x14ac:dyDescent="0.35">
      <c r="B1065" s="74">
        <v>45996</v>
      </c>
      <c r="C1065">
        <v>26186.45</v>
      </c>
      <c r="D1065" s="64">
        <f t="shared" si="32"/>
        <v>5.8654631007826197E-3</v>
      </c>
      <c r="F1065" s="74">
        <v>45996</v>
      </c>
      <c r="G1065" s="40">
        <v>1616.2</v>
      </c>
      <c r="H1065">
        <f t="shared" si="33"/>
        <v>1.1642463695543448E-2</v>
      </c>
    </row>
    <row r="1066" spans="2:8" x14ac:dyDescent="0.35">
      <c r="B1066" s="74">
        <v>45999</v>
      </c>
      <c r="C1066">
        <v>25960.55</v>
      </c>
      <c r="D1066" s="64">
        <f t="shared" si="32"/>
        <v>-8.626598870790092E-3</v>
      </c>
      <c r="F1066" s="74">
        <v>45999</v>
      </c>
      <c r="G1066" s="40">
        <v>1610.8</v>
      </c>
      <c r="H1066">
        <f t="shared" si="33"/>
        <v>-3.3411706471971891E-3</v>
      </c>
    </row>
    <row r="1067" spans="2:8" x14ac:dyDescent="0.35">
      <c r="B1067" s="74">
        <v>46000</v>
      </c>
      <c r="C1067">
        <v>25839.65</v>
      </c>
      <c r="D1067" s="64">
        <f t="shared" si="32"/>
        <v>-4.6570662023723841E-3</v>
      </c>
      <c r="F1067" s="74">
        <v>46000</v>
      </c>
      <c r="G1067" s="40">
        <v>1599</v>
      </c>
      <c r="H1067">
        <f t="shared" si="33"/>
        <v>-7.3255525204867222E-3</v>
      </c>
    </row>
    <row r="1068" spans="2:8" x14ac:dyDescent="0.35">
      <c r="B1068" s="74">
        <v>46001</v>
      </c>
      <c r="C1068">
        <v>25758</v>
      </c>
      <c r="D1068" s="64">
        <f t="shared" si="32"/>
        <v>-3.15987252149319E-3</v>
      </c>
      <c r="F1068" s="74">
        <v>46001</v>
      </c>
      <c r="G1068" s="40">
        <v>1584.8</v>
      </c>
      <c r="H1068">
        <f t="shared" si="33"/>
        <v>-8.8805503439649547E-3</v>
      </c>
    </row>
    <row r="1069" spans="2:8" x14ac:dyDescent="0.35">
      <c r="B1069" s="74">
        <v>46002</v>
      </c>
      <c r="C1069">
        <v>25898.55</v>
      </c>
      <c r="D1069" s="64">
        <f t="shared" si="32"/>
        <v>5.4565571861169282E-3</v>
      </c>
      <c r="F1069" s="74">
        <v>46002</v>
      </c>
      <c r="G1069" s="40">
        <v>1598</v>
      </c>
      <c r="H1069">
        <f t="shared" si="33"/>
        <v>8.3291267036851302E-3</v>
      </c>
    </row>
    <row r="1070" spans="2:8" x14ac:dyDescent="0.35">
      <c r="B1070" s="74">
        <v>46003</v>
      </c>
      <c r="C1070">
        <v>26046.95</v>
      </c>
      <c r="D1070" s="64">
        <f t="shared" si="32"/>
        <v>5.7300505240640565E-3</v>
      </c>
      <c r="F1070" s="74">
        <v>46003</v>
      </c>
      <c r="G1070" s="40">
        <v>1598.2</v>
      </c>
      <c r="H1070">
        <f t="shared" si="33"/>
        <v>1.2515644555688432E-4</v>
      </c>
    </row>
    <row r="1071" spans="2:8" x14ac:dyDescent="0.35">
      <c r="B1071" s="74">
        <v>46006</v>
      </c>
      <c r="C1071">
        <v>26027.3</v>
      </c>
      <c r="D1071" s="64">
        <f t="shared" si="32"/>
        <v>-7.5440694591888402E-4</v>
      </c>
      <c r="F1071" s="74">
        <v>46006</v>
      </c>
      <c r="G1071" s="40">
        <v>1606.8</v>
      </c>
      <c r="H1071">
        <f t="shared" si="33"/>
        <v>5.3810536853959867E-3</v>
      </c>
    </row>
    <row r="1072" spans="2:8" x14ac:dyDescent="0.35">
      <c r="B1072" s="74">
        <v>46007</v>
      </c>
      <c r="C1072">
        <v>25860.1</v>
      </c>
      <c r="D1072" s="64">
        <f t="shared" si="32"/>
        <v>-6.4240240055634112E-3</v>
      </c>
      <c r="F1072" s="74">
        <v>46007</v>
      </c>
      <c r="G1072" s="40">
        <v>1592.9</v>
      </c>
      <c r="H1072">
        <f t="shared" si="33"/>
        <v>-8.6507343788896351E-3</v>
      </c>
    </row>
    <row r="1073" spans="2:8" x14ac:dyDescent="0.35">
      <c r="B1073" s="74">
        <v>46008</v>
      </c>
      <c r="C1073">
        <v>25818.55</v>
      </c>
      <c r="D1073" s="64">
        <f t="shared" si="32"/>
        <v>-1.6067223251263751E-3</v>
      </c>
      <c r="F1073" s="74">
        <v>46008</v>
      </c>
      <c r="G1073" s="40">
        <v>1602</v>
      </c>
      <c r="H1073">
        <f t="shared" si="33"/>
        <v>5.71285077531547E-3</v>
      </c>
    </row>
    <row r="1074" spans="2:8" x14ac:dyDescent="0.35">
      <c r="B1074" s="74">
        <v>46009</v>
      </c>
      <c r="C1074">
        <v>25815.55</v>
      </c>
      <c r="D1074" s="64">
        <f t="shared" si="32"/>
        <v>-1.1619552608488348E-4</v>
      </c>
      <c r="F1074" s="74">
        <v>46009</v>
      </c>
      <c r="G1074" s="40">
        <v>1626.8</v>
      </c>
      <c r="H1074">
        <f t="shared" si="33"/>
        <v>1.5480649188514439E-2</v>
      </c>
    </row>
    <row r="1075" spans="2:8" x14ac:dyDescent="0.35">
      <c r="B1075" s="74">
        <v>46010</v>
      </c>
      <c r="C1075">
        <v>25966.400000000001</v>
      </c>
      <c r="D1075" s="64">
        <f t="shared" si="32"/>
        <v>5.8433773442752024E-3</v>
      </c>
      <c r="F1075" s="74">
        <v>46010</v>
      </c>
      <c r="G1075" s="40">
        <v>1638.7</v>
      </c>
      <c r="H1075">
        <f t="shared" si="33"/>
        <v>7.3149741824440895E-3</v>
      </c>
    </row>
    <row r="1076" spans="2:8" x14ac:dyDescent="0.35">
      <c r="B1076" s="74">
        <v>46013</v>
      </c>
      <c r="C1076">
        <v>26172.400000000001</v>
      </c>
      <c r="D1076" s="64">
        <f t="shared" si="32"/>
        <v>7.9333292254606391E-3</v>
      </c>
      <c r="F1076" s="74">
        <v>46013</v>
      </c>
      <c r="G1076" s="40">
        <v>1689.6</v>
      </c>
      <c r="H1076">
        <f t="shared" si="33"/>
        <v>3.106120705437232E-2</v>
      </c>
    </row>
    <row r="1077" spans="2:8" x14ac:dyDescent="0.35">
      <c r="B1077" s="74">
        <v>46014</v>
      </c>
      <c r="C1077">
        <v>26177.15</v>
      </c>
      <c r="D1077" s="64">
        <f t="shared" si="32"/>
        <v>1.8148889670044355E-4</v>
      </c>
      <c r="F1077" s="74">
        <v>46014</v>
      </c>
      <c r="G1077" s="40">
        <v>1668.3</v>
      </c>
      <c r="H1077">
        <f t="shared" si="33"/>
        <v>-1.2606534090909061E-2</v>
      </c>
    </row>
    <row r="1078" spans="2:8" x14ac:dyDescent="0.35">
      <c r="B1078" s="74">
        <v>46015</v>
      </c>
      <c r="C1078">
        <v>26142.1</v>
      </c>
      <c r="D1078" s="64">
        <f t="shared" si="32"/>
        <v>-1.3389540114184806E-3</v>
      </c>
      <c r="F1078" s="74">
        <v>46015</v>
      </c>
      <c r="G1078" s="40">
        <v>1663.4</v>
      </c>
      <c r="H1078">
        <f t="shared" si="33"/>
        <v>-2.9371216208115003E-3</v>
      </c>
    </row>
    <row r="1079" spans="2:8" x14ac:dyDescent="0.35">
      <c r="B1079" s="74">
        <v>46017</v>
      </c>
      <c r="C1079">
        <v>26042.3</v>
      </c>
      <c r="D1079" s="64">
        <f t="shared" si="32"/>
        <v>-3.8175969030797008E-3</v>
      </c>
      <c r="F1079" s="74">
        <v>46017</v>
      </c>
      <c r="G1079" s="40">
        <v>1656.1</v>
      </c>
      <c r="H1079">
        <f t="shared" si="33"/>
        <v>-4.3886016592522559E-3</v>
      </c>
    </row>
    <row r="1080" spans="2:8" x14ac:dyDescent="0.35">
      <c r="B1080" s="74">
        <v>46020</v>
      </c>
      <c r="C1080">
        <v>25942.1</v>
      </c>
      <c r="D1080" s="64">
        <f t="shared" si="32"/>
        <v>-3.8475864266981352E-3</v>
      </c>
      <c r="F1080" s="74">
        <v>46020</v>
      </c>
      <c r="G1080" s="40">
        <v>1644.7</v>
      </c>
      <c r="H1080">
        <f t="shared" si="33"/>
        <v>-6.8836422921320084E-3</v>
      </c>
    </row>
    <row r="1081" spans="2:8" x14ac:dyDescent="0.35">
      <c r="B1081" s="74">
        <v>46021</v>
      </c>
      <c r="C1081">
        <v>25938.85</v>
      </c>
      <c r="D1081" s="64">
        <f t="shared" si="32"/>
        <v>-1.2527898666647719E-4</v>
      </c>
      <c r="F1081" s="74">
        <v>46021</v>
      </c>
      <c r="G1081" s="40">
        <v>1621.6</v>
      </c>
      <c r="H1081">
        <f t="shared" si="33"/>
        <v>-1.4045114610567344E-2</v>
      </c>
    </row>
    <row r="1082" spans="2:8" x14ac:dyDescent="0.35">
      <c r="B1082" s="74">
        <v>46022</v>
      </c>
      <c r="C1082">
        <v>26129.599999999999</v>
      </c>
      <c r="D1082" s="64">
        <f t="shared" si="32"/>
        <v>7.3538341136942798E-3</v>
      </c>
      <c r="F1082" s="74">
        <v>46022</v>
      </c>
      <c r="G1082" s="40">
        <v>1615.4</v>
      </c>
      <c r="H1082">
        <f t="shared" si="33"/>
        <v>-3.8233843117907451E-3</v>
      </c>
    </row>
    <row r="1083" spans="2:8" x14ac:dyDescent="0.35">
      <c r="B1083" s="74">
        <v>46023</v>
      </c>
      <c r="C1083">
        <v>26146.55</v>
      </c>
      <c r="D1083" s="64">
        <f t="shared" si="32"/>
        <v>6.4868960871966586E-4</v>
      </c>
      <c r="F1083" s="74">
        <v>46023</v>
      </c>
      <c r="G1083" s="40">
        <v>1629.8</v>
      </c>
      <c r="H1083">
        <f t="shared" si="33"/>
        <v>8.9142008171350096E-3</v>
      </c>
    </row>
    <row r="1084" spans="2:8" x14ac:dyDescent="0.35">
      <c r="B1084" s="74">
        <v>46024</v>
      </c>
      <c r="C1084">
        <v>26328.55</v>
      </c>
      <c r="D1084" s="64">
        <f t="shared" si="32"/>
        <v>6.9607653782239876E-3</v>
      </c>
      <c r="F1084" s="74">
        <v>46024</v>
      </c>
      <c r="G1084" s="40">
        <v>1640.4</v>
      </c>
      <c r="H1084">
        <f t="shared" si="33"/>
        <v>6.5038655049700633E-3</v>
      </c>
    </row>
    <row r="1085" spans="2:8" x14ac:dyDescent="0.35">
      <c r="B1085" s="74">
        <v>46027</v>
      </c>
      <c r="C1085">
        <v>26250.3</v>
      </c>
      <c r="D1085" s="64">
        <f t="shared" si="32"/>
        <v>-2.9720588486642496E-3</v>
      </c>
      <c r="F1085" s="74">
        <v>46027</v>
      </c>
      <c r="G1085" s="40">
        <v>1606.4</v>
      </c>
      <c r="H1085">
        <f t="shared" si="33"/>
        <v>-2.0726652036088811E-2</v>
      </c>
    </row>
    <row r="1086" spans="2:8" x14ac:dyDescent="0.35">
      <c r="B1086" s="74">
        <v>46028</v>
      </c>
      <c r="C1086">
        <v>26178.7</v>
      </c>
      <c r="D1086" s="64">
        <f t="shared" si="32"/>
        <v>-2.7275878751861216E-3</v>
      </c>
      <c r="F1086" s="74">
        <v>46028</v>
      </c>
      <c r="G1086" s="40">
        <v>1612.2</v>
      </c>
      <c r="H1086">
        <f t="shared" si="33"/>
        <v>3.6105577689242718E-3</v>
      </c>
    </row>
    <row r="1087" spans="2:8" x14ac:dyDescent="0.35">
      <c r="B1087" s="74">
        <v>46029</v>
      </c>
      <c r="C1087">
        <v>26140.75</v>
      </c>
      <c r="D1087" s="64">
        <f t="shared" si="32"/>
        <v>-1.4496518161711824E-3</v>
      </c>
      <c r="F1087" s="74">
        <v>46029</v>
      </c>
      <c r="G1087" s="40">
        <v>1639</v>
      </c>
      <c r="H1087">
        <f t="shared" si="33"/>
        <v>1.6623247736012869E-2</v>
      </c>
    </row>
    <row r="1088" spans="2:8" x14ac:dyDescent="0.35">
      <c r="B1088" s="74">
        <v>46030</v>
      </c>
      <c r="C1088">
        <v>25876.85</v>
      </c>
      <c r="D1088" s="64">
        <f t="shared" si="32"/>
        <v>-1.0095349215305638E-2</v>
      </c>
      <c r="F1088" s="74">
        <v>46030</v>
      </c>
      <c r="G1088" s="40">
        <v>1613.3</v>
      </c>
      <c r="H1088">
        <f t="shared" si="33"/>
        <v>-1.5680292861500966E-2</v>
      </c>
    </row>
    <row r="1089" spans="2:8" x14ac:dyDescent="0.35">
      <c r="B1089" s="74">
        <v>46031</v>
      </c>
      <c r="C1089">
        <v>25683.3</v>
      </c>
      <c r="D1089" s="64">
        <f t="shared" si="32"/>
        <v>-7.4796584592019544E-3</v>
      </c>
      <c r="F1089" s="74">
        <v>46031</v>
      </c>
      <c r="G1089" s="40">
        <v>1614.1</v>
      </c>
      <c r="H1089">
        <f t="shared" si="33"/>
        <v>4.9587801400852172E-4</v>
      </c>
    </row>
    <row r="1090" spans="2:8" x14ac:dyDescent="0.35">
      <c r="B1090" s="74">
        <v>46034</v>
      </c>
      <c r="C1090">
        <v>25790.25</v>
      </c>
      <c r="D1090" s="64">
        <f t="shared" si="32"/>
        <v>4.164184509000135E-3</v>
      </c>
      <c r="F1090" s="74">
        <v>46034</v>
      </c>
      <c r="G1090" s="40">
        <v>1595.9</v>
      </c>
      <c r="H1090">
        <f t="shared" si="33"/>
        <v>-1.1275633479957747E-2</v>
      </c>
    </row>
    <row r="1091" spans="2:8" x14ac:dyDescent="0.35">
      <c r="B1091" s="74">
        <v>46035</v>
      </c>
      <c r="C1091">
        <v>25732.3</v>
      </c>
      <c r="D1091" s="64">
        <f t="shared" si="32"/>
        <v>-2.2469731778482771E-3</v>
      </c>
      <c r="F1091" s="74">
        <v>46035</v>
      </c>
      <c r="G1091" s="40">
        <v>1599</v>
      </c>
      <c r="H1091">
        <f t="shared" si="33"/>
        <v>1.9424775988470255E-3</v>
      </c>
    </row>
    <row r="1092" spans="2:8" x14ac:dyDescent="0.35">
      <c r="B1092" s="74">
        <v>46036</v>
      </c>
      <c r="C1092">
        <v>25665.599999999999</v>
      </c>
      <c r="D1092" s="64">
        <f t="shared" si="32"/>
        <v>-2.5920729977498835E-3</v>
      </c>
      <c r="F1092" s="74">
        <v>46036</v>
      </c>
      <c r="G1092" s="40">
        <v>1599.8</v>
      </c>
      <c r="H1092">
        <f t="shared" si="33"/>
        <v>5.0031269543460155E-4</v>
      </c>
    </row>
    <row r="1093" spans="2:8" x14ac:dyDescent="0.35">
      <c r="B1093" s="74">
        <v>46038</v>
      </c>
      <c r="C1093">
        <v>25694.35</v>
      </c>
      <c r="D1093" s="64">
        <f t="shared" si="32"/>
        <v>1.1201764229162858E-3</v>
      </c>
      <c r="F1093" s="74">
        <v>46038</v>
      </c>
      <c r="G1093" s="40">
        <v>1689.8</v>
      </c>
      <c r="H1093">
        <f t="shared" si="33"/>
        <v>5.6257032129016116E-2</v>
      </c>
    </row>
    <row r="1094" spans="2:8" x14ac:dyDescent="0.35">
      <c r="B1094" s="74">
        <v>46041</v>
      </c>
      <c r="C1094">
        <v>25585.5</v>
      </c>
      <c r="D1094" s="64">
        <f t="shared" si="32"/>
        <v>-4.2363398957357967E-3</v>
      </c>
      <c r="F1094" s="74">
        <v>46041</v>
      </c>
      <c r="G1094" s="40">
        <v>1681.2</v>
      </c>
      <c r="H1094">
        <f t="shared" si="33"/>
        <v>-5.0893596875369873E-3</v>
      </c>
    </row>
    <row r="1095" spans="2:8" x14ac:dyDescent="0.35">
      <c r="B1095" s="74">
        <v>46042</v>
      </c>
      <c r="C1095">
        <v>25232.5</v>
      </c>
      <c r="D1095" s="64">
        <f t="shared" ref="D1095:D1158" si="34">C1095/C1094-1</f>
        <v>-1.3796877137441155E-2</v>
      </c>
      <c r="F1095" s="74">
        <v>46042</v>
      </c>
      <c r="G1095" s="40">
        <v>1658.9</v>
      </c>
      <c r="H1095">
        <f t="shared" ref="H1095:H1158" si="35">G1095/G1094-1</f>
        <v>-1.3264334998810301E-2</v>
      </c>
    </row>
    <row r="1096" spans="2:8" x14ac:dyDescent="0.35">
      <c r="B1096" s="74">
        <v>46043</v>
      </c>
      <c r="C1096">
        <v>25157.5</v>
      </c>
      <c r="D1096" s="64">
        <f t="shared" si="34"/>
        <v>-2.9723570791637677E-3</v>
      </c>
      <c r="F1096" s="74">
        <v>46043</v>
      </c>
      <c r="G1096" s="40">
        <v>1654.4</v>
      </c>
      <c r="H1096">
        <f t="shared" si="35"/>
        <v>-2.7126409066248192E-3</v>
      </c>
    </row>
    <row r="1097" spans="2:8" x14ac:dyDescent="0.35">
      <c r="B1097" s="74">
        <v>46044</v>
      </c>
      <c r="C1097">
        <v>25289.9</v>
      </c>
      <c r="D1097" s="64">
        <f t="shared" si="34"/>
        <v>5.2628440822817257E-3</v>
      </c>
      <c r="F1097" s="74">
        <v>46044</v>
      </c>
      <c r="G1097" s="40">
        <v>1663.5</v>
      </c>
      <c r="H1097">
        <f t="shared" si="35"/>
        <v>5.5004835589942402E-3</v>
      </c>
    </row>
    <row r="1098" spans="2:8" x14ac:dyDescent="0.35">
      <c r="B1098" s="74">
        <v>46045</v>
      </c>
      <c r="C1098">
        <v>25048.65</v>
      </c>
      <c r="D1098" s="64">
        <f t="shared" si="34"/>
        <v>-9.5393813340503009E-3</v>
      </c>
      <c r="F1098" s="74">
        <v>46045</v>
      </c>
      <c r="G1098" s="40">
        <v>1670.8</v>
      </c>
      <c r="H1098">
        <f t="shared" si="35"/>
        <v>4.3883378418996255E-3</v>
      </c>
    </row>
    <row r="1099" spans="2:8" x14ac:dyDescent="0.35">
      <c r="B1099" s="74">
        <v>46049</v>
      </c>
      <c r="C1099">
        <v>25175.4</v>
      </c>
      <c r="D1099" s="64">
        <f t="shared" si="34"/>
        <v>5.0601529423741631E-3</v>
      </c>
      <c r="F1099" s="74">
        <v>46049</v>
      </c>
      <c r="G1099" s="40">
        <v>1682.7</v>
      </c>
      <c r="H1099">
        <f t="shared" si="35"/>
        <v>7.1223366052191039E-3</v>
      </c>
    </row>
    <row r="1100" spans="2:8" x14ac:dyDescent="0.35">
      <c r="B1100" s="74">
        <v>46050</v>
      </c>
      <c r="C1100">
        <v>25342.75</v>
      </c>
      <c r="D1100" s="64">
        <f t="shared" si="34"/>
        <v>6.6473621074540912E-3</v>
      </c>
      <c r="F1100" s="74">
        <v>46050</v>
      </c>
      <c r="G1100" s="40">
        <v>1666.5</v>
      </c>
      <c r="H1100">
        <f t="shared" si="35"/>
        <v>-9.6273845605276964E-3</v>
      </c>
    </row>
    <row r="1101" spans="2:8" x14ac:dyDescent="0.35">
      <c r="B1101" s="74">
        <v>46051</v>
      </c>
      <c r="C1101">
        <v>25418.9</v>
      </c>
      <c r="D1101" s="64">
        <f t="shared" si="34"/>
        <v>3.004804135305017E-3</v>
      </c>
      <c r="F1101" s="74">
        <v>46051</v>
      </c>
      <c r="G1101" s="40">
        <v>1659.5</v>
      </c>
      <c r="H1101">
        <f t="shared" si="35"/>
        <v>-4.2004200420041604E-3</v>
      </c>
    </row>
    <row r="1102" spans="2:8" x14ac:dyDescent="0.35">
      <c r="B1102" s="74">
        <v>46052</v>
      </c>
      <c r="C1102">
        <v>25320.65</v>
      </c>
      <c r="D1102" s="64">
        <f t="shared" si="34"/>
        <v>-3.8652341368037302E-3</v>
      </c>
      <c r="F1102" s="74">
        <v>46052</v>
      </c>
      <c r="G1102" s="40">
        <v>1641</v>
      </c>
      <c r="H1102">
        <f t="shared" si="35"/>
        <v>-1.1147936125338931E-2</v>
      </c>
    </row>
    <row r="1103" spans="2:8" x14ac:dyDescent="0.35">
      <c r="B1103" s="74">
        <v>46054</v>
      </c>
      <c r="C1103">
        <v>24825.45</v>
      </c>
      <c r="D1103" s="64">
        <f t="shared" si="34"/>
        <v>-1.955715986753892E-2</v>
      </c>
      <c r="F1103" s="74">
        <v>46054</v>
      </c>
      <c r="G1103" s="40">
        <v>1654.5</v>
      </c>
      <c r="H1103">
        <f t="shared" si="35"/>
        <v>8.2266910420474293E-3</v>
      </c>
    </row>
    <row r="1104" spans="2:8" x14ac:dyDescent="0.35">
      <c r="B1104" s="74">
        <v>46055</v>
      </c>
      <c r="C1104">
        <v>25088.400000000001</v>
      </c>
      <c r="D1104" s="64">
        <f t="shared" si="34"/>
        <v>1.05919530159575E-2</v>
      </c>
      <c r="F1104" s="74">
        <v>46055</v>
      </c>
      <c r="G1104" s="40">
        <v>1629.4</v>
      </c>
      <c r="H1104">
        <f t="shared" si="35"/>
        <v>-1.5170746449078232E-2</v>
      </c>
    </row>
    <row r="1105" spans="2:8" x14ac:dyDescent="0.35">
      <c r="B1105" s="74">
        <v>46056</v>
      </c>
      <c r="C1105">
        <v>25727.55</v>
      </c>
      <c r="D1105" s="64">
        <f t="shared" si="34"/>
        <v>2.5475917156932981E-2</v>
      </c>
      <c r="F1105" s="74">
        <v>46056</v>
      </c>
      <c r="G1105" s="40">
        <v>1656</v>
      </c>
      <c r="H1105">
        <f t="shared" si="35"/>
        <v>1.6325027617527965E-2</v>
      </c>
    </row>
    <row r="1106" spans="2:8" x14ac:dyDescent="0.35">
      <c r="B1106" s="74">
        <v>46057</v>
      </c>
      <c r="C1106">
        <v>25776</v>
      </c>
      <c r="D1106" s="64">
        <f t="shared" si="34"/>
        <v>1.8831952517825989E-3</v>
      </c>
      <c r="F1106" s="74">
        <v>46057</v>
      </c>
      <c r="G1106" s="40">
        <v>1535.8</v>
      </c>
      <c r="H1106">
        <f t="shared" si="35"/>
        <v>-7.2584541062801988E-2</v>
      </c>
    </row>
    <row r="1107" spans="2:8" x14ac:dyDescent="0.35">
      <c r="B1107" s="74">
        <v>46058</v>
      </c>
      <c r="C1107">
        <v>25642.799999999999</v>
      </c>
      <c r="D1107" s="64">
        <f t="shared" si="34"/>
        <v>-5.16759776536313E-3</v>
      </c>
      <c r="F1107" s="74">
        <v>46058</v>
      </c>
      <c r="G1107" s="40">
        <v>1520.2</v>
      </c>
      <c r="H1107">
        <f t="shared" si="35"/>
        <v>-1.0157572600599019E-2</v>
      </c>
    </row>
    <row r="1108" spans="2:8" x14ac:dyDescent="0.35">
      <c r="B1108" s="74">
        <v>46059</v>
      </c>
      <c r="C1108">
        <v>25693.7</v>
      </c>
      <c r="D1108" s="64">
        <f t="shared" si="34"/>
        <v>1.9849626405852305E-3</v>
      </c>
      <c r="F1108" s="74">
        <v>46059</v>
      </c>
      <c r="G1108" s="40">
        <v>1507.1</v>
      </c>
      <c r="H1108">
        <f t="shared" si="35"/>
        <v>-8.6172871990528588E-3</v>
      </c>
    </row>
    <row r="1109" spans="2:8" x14ac:dyDescent="0.35">
      <c r="B1109" s="74">
        <v>46062</v>
      </c>
      <c r="C1109">
        <v>25867.3</v>
      </c>
      <c r="D1109" s="64">
        <f t="shared" si="34"/>
        <v>6.7565200807979675E-3</v>
      </c>
      <c r="F1109" s="74">
        <v>46062</v>
      </c>
      <c r="G1109" s="40">
        <v>1497.2</v>
      </c>
      <c r="H1109">
        <f t="shared" si="35"/>
        <v>-6.5689071727157433E-3</v>
      </c>
    </row>
    <row r="1110" spans="2:8" x14ac:dyDescent="0.35">
      <c r="B1110" s="74">
        <v>46063</v>
      </c>
      <c r="C1110">
        <v>25935.15</v>
      </c>
      <c r="D1110" s="64">
        <f t="shared" si="34"/>
        <v>2.6230027873028749E-3</v>
      </c>
      <c r="F1110" s="74">
        <v>46063</v>
      </c>
      <c r="G1110" s="40">
        <v>1497.8</v>
      </c>
      <c r="H1110">
        <f t="shared" si="35"/>
        <v>4.0074806305101518E-4</v>
      </c>
    </row>
    <row r="1111" spans="2:8" x14ac:dyDescent="0.35">
      <c r="B1111" s="74">
        <v>46064</v>
      </c>
      <c r="C1111">
        <v>25953.85</v>
      </c>
      <c r="D1111" s="64">
        <f t="shared" si="34"/>
        <v>7.2102918240291025E-4</v>
      </c>
      <c r="F1111" s="74">
        <v>46064</v>
      </c>
      <c r="G1111" s="40">
        <v>1471.9</v>
      </c>
      <c r="H1111">
        <f t="shared" si="35"/>
        <v>-1.7292028308185214E-2</v>
      </c>
    </row>
    <row r="1112" spans="2:8" x14ac:dyDescent="0.35">
      <c r="B1112" s="74">
        <v>46065</v>
      </c>
      <c r="C1112">
        <v>25807.200000000001</v>
      </c>
      <c r="D1112" s="64">
        <f t="shared" si="34"/>
        <v>-5.6504141004127817E-3</v>
      </c>
      <c r="F1112" s="74">
        <v>46065</v>
      </c>
      <c r="G1112" s="40">
        <v>1386</v>
      </c>
      <c r="H1112">
        <f t="shared" si="35"/>
        <v>-5.8359942930905739E-2</v>
      </c>
    </row>
    <row r="1113" spans="2:8" x14ac:dyDescent="0.35">
      <c r="B1113" s="74">
        <v>46066</v>
      </c>
      <c r="C1113">
        <v>25471.1</v>
      </c>
      <c r="D1113" s="64">
        <f t="shared" si="34"/>
        <v>-1.3023497318577881E-2</v>
      </c>
      <c r="F1113" s="74">
        <v>46066</v>
      </c>
      <c r="G1113" s="40">
        <v>1369.1</v>
      </c>
      <c r="H1113">
        <f t="shared" si="35"/>
        <v>-1.2193362193362312E-2</v>
      </c>
    </row>
    <row r="1114" spans="2:8" x14ac:dyDescent="0.35">
      <c r="B1114" s="74">
        <v>46069</v>
      </c>
      <c r="C1114">
        <v>25682.75</v>
      </c>
      <c r="D1114" s="64">
        <f t="shared" si="34"/>
        <v>8.3094173396516258E-3</v>
      </c>
      <c r="F1114" s="74">
        <v>46069</v>
      </c>
      <c r="G1114" s="40">
        <v>1365.6</v>
      </c>
      <c r="H1114">
        <f t="shared" si="35"/>
        <v>-2.5564239281279377E-3</v>
      </c>
    </row>
    <row r="1115" spans="2:8" x14ac:dyDescent="0.35">
      <c r="B1115" s="74">
        <v>46070</v>
      </c>
      <c r="C1115">
        <v>25725.4</v>
      </c>
      <c r="D1115" s="64">
        <f t="shared" si="34"/>
        <v>1.6606477110123752E-3</v>
      </c>
      <c r="F1115" s="74">
        <v>46070</v>
      </c>
      <c r="G1115" s="40">
        <v>1391.2</v>
      </c>
      <c r="H1115">
        <f t="shared" si="35"/>
        <v>1.8746338605741153E-2</v>
      </c>
    </row>
    <row r="1116" spans="2:8" x14ac:dyDescent="0.35">
      <c r="B1116" s="74">
        <v>46071</v>
      </c>
      <c r="C1116">
        <v>25819.35</v>
      </c>
      <c r="D1116" s="64">
        <f t="shared" si="34"/>
        <v>3.6520326214557475E-3</v>
      </c>
      <c r="F1116" s="74">
        <v>46071</v>
      </c>
      <c r="G1116" s="40">
        <v>1373.7</v>
      </c>
      <c r="H1116">
        <f t="shared" si="35"/>
        <v>-1.2579068430132234E-2</v>
      </c>
    </row>
    <row r="1117" spans="2:8" x14ac:dyDescent="0.35">
      <c r="B1117" s="74">
        <v>46072</v>
      </c>
      <c r="C1117">
        <v>25454.35</v>
      </c>
      <c r="D1117" s="64">
        <f t="shared" si="34"/>
        <v>-1.4136684308474035E-2</v>
      </c>
      <c r="F1117" s="74">
        <v>46072</v>
      </c>
      <c r="G1117" s="40">
        <v>1370.5</v>
      </c>
      <c r="H1117">
        <f t="shared" si="35"/>
        <v>-2.3294751401324865E-3</v>
      </c>
    </row>
    <row r="1118" spans="2:8" x14ac:dyDescent="0.35">
      <c r="B1118" s="74">
        <v>46073</v>
      </c>
      <c r="C1118">
        <v>25571.25</v>
      </c>
      <c r="D1118" s="64">
        <f t="shared" si="34"/>
        <v>4.5925352641100758E-3</v>
      </c>
      <c r="F1118" s="74">
        <v>46073</v>
      </c>
      <c r="G1118" s="40">
        <v>1353.2</v>
      </c>
      <c r="H1118">
        <f t="shared" si="35"/>
        <v>-1.2623130244436287E-2</v>
      </c>
    </row>
    <row r="1119" spans="2:8" x14ac:dyDescent="0.35">
      <c r="B1119" s="74">
        <v>46076</v>
      </c>
      <c r="C1119">
        <v>25713</v>
      </c>
      <c r="D1119" s="64">
        <f t="shared" si="34"/>
        <v>5.5433347998239402E-3</v>
      </c>
      <c r="F1119" s="74">
        <v>46076</v>
      </c>
      <c r="G1119" s="40">
        <v>1327.5</v>
      </c>
      <c r="H1119">
        <f t="shared" si="35"/>
        <v>-1.8992018918120079E-2</v>
      </c>
    </row>
    <row r="1120" spans="2:8" x14ac:dyDescent="0.35">
      <c r="B1120" s="74">
        <v>46077</v>
      </c>
      <c r="C1120">
        <v>25424.65</v>
      </c>
      <c r="D1120" s="64">
        <f t="shared" si="34"/>
        <v>-1.1214171819702079E-2</v>
      </c>
      <c r="F1120" s="74">
        <v>46077</v>
      </c>
      <c r="G1120" s="40">
        <v>1275.5</v>
      </c>
      <c r="H1120">
        <f t="shared" si="35"/>
        <v>-3.917137476459509E-2</v>
      </c>
    </row>
    <row r="1121" spans="2:8" x14ac:dyDescent="0.35">
      <c r="B1121" s="74">
        <v>46078</v>
      </c>
      <c r="C1121">
        <v>25482.5</v>
      </c>
      <c r="D1121" s="64">
        <f t="shared" si="34"/>
        <v>2.275350889786143E-3</v>
      </c>
      <c r="F1121" s="74">
        <v>46078</v>
      </c>
      <c r="G1121" s="40">
        <v>1290.0999999999999</v>
      </c>
      <c r="H1121">
        <f t="shared" si="35"/>
        <v>1.144649157193256E-2</v>
      </c>
    </row>
    <row r="1122" spans="2:8" x14ac:dyDescent="0.35">
      <c r="B1122" s="74">
        <v>46079</v>
      </c>
      <c r="C1122">
        <v>25496.55</v>
      </c>
      <c r="D1122" s="64">
        <f t="shared" si="34"/>
        <v>5.5135877563028401E-4</v>
      </c>
      <c r="F1122" s="74">
        <v>46079</v>
      </c>
      <c r="G1122" s="40">
        <v>1289.0999999999999</v>
      </c>
      <c r="H1122">
        <f t="shared" si="35"/>
        <v>-7.7513371056503466E-4</v>
      </c>
    </row>
    <row r="1123" spans="2:8" x14ac:dyDescent="0.35">
      <c r="B1123" s="74">
        <v>46080</v>
      </c>
      <c r="C1123">
        <v>25178.65</v>
      </c>
      <c r="D1123" s="64">
        <f t="shared" si="34"/>
        <v>-1.2468353561560175E-2</v>
      </c>
      <c r="F1123" s="74">
        <v>46080</v>
      </c>
      <c r="G1123" s="40">
        <v>1300.0999999999999</v>
      </c>
      <c r="H1123">
        <f t="shared" si="35"/>
        <v>8.533085098130444E-3</v>
      </c>
    </row>
    <row r="1124" spans="2:8" x14ac:dyDescent="0.35">
      <c r="B1124" s="74">
        <v>46083</v>
      </c>
      <c r="C1124">
        <v>24865.7</v>
      </c>
      <c r="D1124" s="64">
        <f t="shared" si="34"/>
        <v>-1.2429181072059148E-2</v>
      </c>
      <c r="F1124" s="74">
        <v>46083</v>
      </c>
      <c r="G1124" s="40">
        <v>1288.9000000000001</v>
      </c>
      <c r="H1124">
        <f t="shared" si="35"/>
        <v>-8.6147219444656642E-3</v>
      </c>
    </row>
    <row r="1125" spans="2:8" x14ac:dyDescent="0.35">
      <c r="B1125" s="74">
        <v>46085</v>
      </c>
      <c r="C1125">
        <v>24480.5</v>
      </c>
      <c r="D1125" s="64">
        <f t="shared" si="34"/>
        <v>-1.5491218827541564E-2</v>
      </c>
      <c r="F1125" s="74">
        <v>46085</v>
      </c>
      <c r="G1125" s="40">
        <v>1307.4000000000001</v>
      </c>
      <c r="H1125">
        <f t="shared" si="35"/>
        <v>1.4353324540305579E-2</v>
      </c>
    </row>
    <row r="1126" spans="2:8" x14ac:dyDescent="0.35">
      <c r="B1126" s="74">
        <v>46086</v>
      </c>
      <c r="C1126">
        <v>24765.9</v>
      </c>
      <c r="D1126" s="64">
        <f t="shared" si="34"/>
        <v>1.1658258613999051E-2</v>
      </c>
      <c r="F1126" s="74">
        <v>46086</v>
      </c>
      <c r="G1126" s="40">
        <v>1305.8</v>
      </c>
      <c r="H1126">
        <f t="shared" si="35"/>
        <v>-1.2238029677222872E-3</v>
      </c>
    </row>
    <row r="1127" spans="2:8" x14ac:dyDescent="0.35">
      <c r="B1127" s="74">
        <v>46087</v>
      </c>
      <c r="C1127">
        <v>24450.45</v>
      </c>
      <c r="D1127" s="64">
        <f t="shared" si="34"/>
        <v>-1.2737271813259343E-2</v>
      </c>
      <c r="F1127" s="74">
        <v>46087</v>
      </c>
      <c r="G1127" s="40">
        <v>1308.4000000000001</v>
      </c>
      <c r="H1127">
        <f t="shared" si="35"/>
        <v>1.9911165568999856E-3</v>
      </c>
    </row>
    <row r="1128" spans="2:8" x14ac:dyDescent="0.35">
      <c r="B1128" s="74">
        <v>46090</v>
      </c>
      <c r="C1128">
        <v>24028.05</v>
      </c>
      <c r="D1128" s="64">
        <f t="shared" si="34"/>
        <v>-1.7275755660938863E-2</v>
      </c>
      <c r="F1128" s="74">
        <v>46090</v>
      </c>
      <c r="G1128" s="40">
        <v>1315</v>
      </c>
      <c r="H1128">
        <f t="shared" si="35"/>
        <v>5.0443289513908418E-3</v>
      </c>
    </row>
    <row r="1129" spans="2:8" x14ac:dyDescent="0.35">
      <c r="B1129" s="74">
        <v>46091</v>
      </c>
      <c r="C1129">
        <v>24261.599999999999</v>
      </c>
      <c r="D1129" s="64">
        <f t="shared" si="34"/>
        <v>9.7198898787043131E-3</v>
      </c>
      <c r="F1129" s="74">
        <v>46091</v>
      </c>
      <c r="G1129" s="40">
        <v>1295.5999999999999</v>
      </c>
      <c r="H1129">
        <f t="shared" si="35"/>
        <v>-1.4752851711026693E-2</v>
      </c>
    </row>
    <row r="1130" spans="2:8" x14ac:dyDescent="0.35">
      <c r="B1130" s="74">
        <v>46092</v>
      </c>
      <c r="C1130">
        <v>23866.85</v>
      </c>
      <c r="D1130" s="64">
        <f t="shared" si="34"/>
        <v>-1.6270567481122433E-2</v>
      </c>
      <c r="F1130" s="74">
        <v>46092</v>
      </c>
      <c r="G1130" s="40">
        <v>1276.3</v>
      </c>
      <c r="H1130">
        <f t="shared" si="35"/>
        <v>-1.4896573016363046E-2</v>
      </c>
    </row>
    <row r="1131" spans="2:8" x14ac:dyDescent="0.35">
      <c r="B1131" s="74">
        <v>46093</v>
      </c>
      <c r="C1131">
        <v>23639.15</v>
      </c>
      <c r="D1131" s="64">
        <f t="shared" si="34"/>
        <v>-9.5404295078738155E-3</v>
      </c>
      <c r="F1131" s="74">
        <v>46093</v>
      </c>
      <c r="G1131" s="40">
        <v>1265.8</v>
      </c>
      <c r="H1131">
        <f t="shared" si="35"/>
        <v>-8.2269058998668543E-3</v>
      </c>
    </row>
    <row r="1132" spans="2:8" x14ac:dyDescent="0.35">
      <c r="B1132" s="74">
        <v>46094</v>
      </c>
      <c r="C1132">
        <v>23151.1</v>
      </c>
      <c r="D1132" s="64">
        <f t="shared" si="34"/>
        <v>-2.0645835404403456E-2</v>
      </c>
      <c r="F1132" s="74">
        <v>46094</v>
      </c>
      <c r="G1132" s="40">
        <v>1248.3</v>
      </c>
      <c r="H1132">
        <f t="shared" si="35"/>
        <v>-1.3825248854479333E-2</v>
      </c>
    </row>
    <row r="1133" spans="2:8" x14ac:dyDescent="0.35">
      <c r="B1133" s="74">
        <v>46097</v>
      </c>
      <c r="C1133">
        <v>23408.799999999999</v>
      </c>
      <c r="D1133" s="64">
        <f t="shared" si="34"/>
        <v>1.1131220546755971E-2</v>
      </c>
      <c r="F1133" s="74">
        <v>46097</v>
      </c>
      <c r="G1133" s="40">
        <v>1249.8</v>
      </c>
      <c r="H1133">
        <f t="shared" si="35"/>
        <v>1.2016342225427135E-3</v>
      </c>
    </row>
    <row r="1134" spans="2:8" x14ac:dyDescent="0.35">
      <c r="B1134" s="74">
        <v>46098</v>
      </c>
      <c r="C1134">
        <v>23581.15</v>
      </c>
      <c r="D1134" s="64">
        <f t="shared" si="34"/>
        <v>7.3626157684290039E-3</v>
      </c>
      <c r="F1134" s="74">
        <v>46098</v>
      </c>
      <c r="G1134" s="40">
        <v>1232.9000000000001</v>
      </c>
      <c r="H1134">
        <f t="shared" si="35"/>
        <v>-1.352216354616731E-2</v>
      </c>
    </row>
    <row r="1135" spans="2:8" x14ac:dyDescent="0.35">
      <c r="B1135" s="74">
        <v>46099</v>
      </c>
      <c r="C1135">
        <v>23777.8</v>
      </c>
      <c r="D1135" s="64">
        <f t="shared" si="34"/>
        <v>8.3392879482127036E-3</v>
      </c>
      <c r="F1135" s="74">
        <v>46099</v>
      </c>
      <c r="G1135" s="40">
        <v>1267.0999999999999</v>
      </c>
      <c r="H1135">
        <f t="shared" si="35"/>
        <v>2.7739476032119237E-2</v>
      </c>
    </row>
    <row r="1136" spans="2:8" x14ac:dyDescent="0.35">
      <c r="B1136" s="74">
        <v>46100</v>
      </c>
      <c r="C1136">
        <v>23002.15</v>
      </c>
      <c r="D1136" s="64">
        <f t="shared" si="34"/>
        <v>-3.2620763905828021E-2</v>
      </c>
      <c r="F1136" s="74">
        <v>46100</v>
      </c>
      <c r="G1136" s="40">
        <v>1220.8</v>
      </c>
      <c r="H1136">
        <f t="shared" si="35"/>
        <v>-3.6540131007813059E-2</v>
      </c>
    </row>
    <row r="1137" spans="2:8" x14ac:dyDescent="0.35">
      <c r="B1137" s="74">
        <v>46101</v>
      </c>
      <c r="C1137">
        <v>23114.5</v>
      </c>
      <c r="D1137" s="64">
        <f t="shared" si="34"/>
        <v>4.8843260303927938E-3</v>
      </c>
      <c r="F1137" s="74">
        <v>46101</v>
      </c>
      <c r="G1137" s="40">
        <v>1255.9000000000001</v>
      </c>
      <c r="H1137">
        <f t="shared" si="35"/>
        <v>2.8751638269987057E-2</v>
      </c>
    </row>
    <row r="1138" spans="2:8" x14ac:dyDescent="0.35">
      <c r="B1138" s="74">
        <v>46104</v>
      </c>
      <c r="C1138">
        <v>22512.65</v>
      </c>
      <c r="D1138" s="64">
        <f t="shared" si="34"/>
        <v>-2.6037768500291936E-2</v>
      </c>
      <c r="F1138" s="74">
        <v>46104</v>
      </c>
      <c r="G1138" s="40">
        <v>1256.8</v>
      </c>
      <c r="H1138">
        <f t="shared" si="35"/>
        <v>7.1661756509255881E-4</v>
      </c>
    </row>
    <row r="1139" spans="2:8" x14ac:dyDescent="0.35">
      <c r="B1139" s="74">
        <v>46105</v>
      </c>
      <c r="C1139">
        <v>22912.400000000001</v>
      </c>
      <c r="D1139" s="64">
        <f t="shared" si="34"/>
        <v>1.7756683464629885E-2</v>
      </c>
      <c r="F1139" s="74">
        <v>46105</v>
      </c>
      <c r="G1139" s="40">
        <v>1278.3</v>
      </c>
      <c r="H1139">
        <f t="shared" si="35"/>
        <v>1.7106938255887938E-2</v>
      </c>
    </row>
    <row r="1140" spans="2:8" x14ac:dyDescent="0.35">
      <c r="B1140" s="74">
        <v>46106</v>
      </c>
      <c r="C1140">
        <v>23306.45</v>
      </c>
      <c r="D1140" s="64">
        <f t="shared" si="34"/>
        <v>1.7198111066496713E-2</v>
      </c>
      <c r="F1140" s="74">
        <v>46106</v>
      </c>
      <c r="G1140" s="40">
        <v>1279.0999999999999</v>
      </c>
      <c r="H1140">
        <f t="shared" si="35"/>
        <v>6.2583118203862753E-4</v>
      </c>
    </row>
    <row r="1141" spans="2:8" x14ac:dyDescent="0.35">
      <c r="B1141" s="74">
        <v>46108</v>
      </c>
      <c r="C1141">
        <v>22819.599999999999</v>
      </c>
      <c r="D1141" s="64">
        <f t="shared" si="34"/>
        <v>-2.0889067189554966E-2</v>
      </c>
      <c r="F1141" s="74">
        <v>46108</v>
      </c>
      <c r="G1141" s="40">
        <v>1269.7</v>
      </c>
      <c r="H1141">
        <f t="shared" si="35"/>
        <v>-7.3489172074113762E-3</v>
      </c>
    </row>
    <row r="1142" spans="2:8" x14ac:dyDescent="0.35">
      <c r="B1142" s="74">
        <v>46111</v>
      </c>
      <c r="C1142">
        <v>22331.4</v>
      </c>
      <c r="D1142" s="64">
        <f t="shared" si="34"/>
        <v>-2.1393889463443561E-2</v>
      </c>
      <c r="F1142" s="74">
        <v>46111</v>
      </c>
      <c r="G1142" s="40">
        <v>1250.5999999999999</v>
      </c>
      <c r="H1142">
        <f t="shared" si="35"/>
        <v>-1.504292352524228E-2</v>
      </c>
    </row>
    <row r="1143" spans="2:8" x14ac:dyDescent="0.35">
      <c r="B1143" s="74">
        <v>46113</v>
      </c>
      <c r="C1143">
        <v>22679.4</v>
      </c>
      <c r="D1143" s="64">
        <f t="shared" si="34"/>
        <v>1.5583438566323604E-2</v>
      </c>
      <c r="F1143" s="74">
        <v>46113</v>
      </c>
      <c r="G1143" s="40">
        <v>1275.7</v>
      </c>
      <c r="H1143">
        <f t="shared" si="35"/>
        <v>2.0070366224212544E-2</v>
      </c>
    </row>
    <row r="1144" spans="2:8" x14ac:dyDescent="0.35">
      <c r="B1144" s="74">
        <v>46114</v>
      </c>
      <c r="C1144">
        <v>22713.1</v>
      </c>
      <c r="D1144" s="64">
        <f t="shared" si="34"/>
        <v>1.4859299628737777E-3</v>
      </c>
      <c r="F1144" s="74">
        <v>46114</v>
      </c>
      <c r="G1144" s="40">
        <v>1300.8</v>
      </c>
      <c r="H1144">
        <f t="shared" si="35"/>
        <v>1.9675472289723217E-2</v>
      </c>
    </row>
    <row r="1145" spans="2:8" x14ac:dyDescent="0.35">
      <c r="B1145" s="74">
        <v>46118</v>
      </c>
      <c r="C1145">
        <v>22968.25</v>
      </c>
      <c r="D1145" s="64">
        <f t="shared" si="34"/>
        <v>1.123360527625028E-2</v>
      </c>
      <c r="F1145" s="74">
        <v>46118</v>
      </c>
      <c r="G1145" s="40">
        <v>1306.2</v>
      </c>
      <c r="H1145">
        <f t="shared" si="35"/>
        <v>4.1512915129151562E-3</v>
      </c>
    </row>
    <row r="1146" spans="2:8" x14ac:dyDescent="0.35">
      <c r="B1146" s="74">
        <v>46119</v>
      </c>
      <c r="C1146">
        <v>23123.65</v>
      </c>
      <c r="D1146" s="64">
        <f t="shared" si="34"/>
        <v>6.7658615697756552E-3</v>
      </c>
      <c r="F1146" s="74">
        <v>46119</v>
      </c>
      <c r="G1146" s="40">
        <v>1339.4</v>
      </c>
      <c r="H1146">
        <f t="shared" si="35"/>
        <v>2.5417240851324463E-2</v>
      </c>
    </row>
    <row r="1147" spans="2:8" x14ac:dyDescent="0.35">
      <c r="B1147" s="74">
        <v>46120</v>
      </c>
      <c r="C1147">
        <v>23997.35</v>
      </c>
      <c r="D1147" s="64">
        <f t="shared" si="34"/>
        <v>3.7783827380192925E-2</v>
      </c>
      <c r="F1147" s="74">
        <v>46120</v>
      </c>
      <c r="G1147" s="40">
        <v>1346.2</v>
      </c>
      <c r="H1147">
        <f t="shared" si="35"/>
        <v>5.0769001045243289E-3</v>
      </c>
    </row>
    <row r="1148" spans="2:8" x14ac:dyDescent="0.35">
      <c r="B1148" s="74">
        <v>46121</v>
      </c>
      <c r="C1148">
        <v>23775.1</v>
      </c>
      <c r="D1148" s="64">
        <f t="shared" si="34"/>
        <v>-9.2614392839209803E-3</v>
      </c>
      <c r="F1148" s="74">
        <v>46121</v>
      </c>
      <c r="G1148" s="40">
        <v>1331.6</v>
      </c>
      <c r="H1148">
        <f t="shared" si="35"/>
        <v>-1.0845342445401918E-2</v>
      </c>
    </row>
    <row r="1149" spans="2:8" x14ac:dyDescent="0.35">
      <c r="B1149" s="74">
        <v>46122</v>
      </c>
      <c r="C1149">
        <v>24050.6</v>
      </c>
      <c r="D1149" s="64">
        <f t="shared" si="34"/>
        <v>1.1587753574117565E-2</v>
      </c>
      <c r="F1149" s="74">
        <v>46122</v>
      </c>
      <c r="G1149" s="40">
        <v>1292.5</v>
      </c>
      <c r="H1149">
        <f t="shared" si="35"/>
        <v>-2.9363172123760828E-2</v>
      </c>
    </row>
    <row r="1150" spans="2:8" x14ac:dyDescent="0.35">
      <c r="B1150" s="74">
        <v>46125</v>
      </c>
      <c r="C1150">
        <v>23842.65</v>
      </c>
      <c r="D1150" s="64">
        <f t="shared" si="34"/>
        <v>-8.6463539371157694E-3</v>
      </c>
      <c r="F1150" s="74">
        <v>46125</v>
      </c>
      <c r="G1150" s="40">
        <v>1276.8</v>
      </c>
      <c r="H1150">
        <f t="shared" si="35"/>
        <v>-1.2147001934236012E-2</v>
      </c>
    </row>
    <row r="1151" spans="2:8" x14ac:dyDescent="0.35">
      <c r="B1151" s="74">
        <v>46127</v>
      </c>
      <c r="C1151">
        <v>24231.3</v>
      </c>
      <c r="D1151" s="64">
        <f t="shared" si="34"/>
        <v>1.6300620946077649E-2</v>
      </c>
      <c r="F1151" s="74">
        <v>46127</v>
      </c>
      <c r="G1151" s="40">
        <v>1305.3</v>
      </c>
      <c r="H1151">
        <f t="shared" si="35"/>
        <v>2.2321428571428603E-2</v>
      </c>
    </row>
    <row r="1152" spans="2:8" x14ac:dyDescent="0.35">
      <c r="B1152" s="74">
        <v>46128</v>
      </c>
      <c r="C1152">
        <v>24196.75</v>
      </c>
      <c r="D1152" s="64">
        <f t="shared" si="34"/>
        <v>-1.4258417831481962E-3</v>
      </c>
      <c r="F1152" s="74">
        <v>46128</v>
      </c>
      <c r="G1152" s="40">
        <v>1319.2</v>
      </c>
      <c r="H1152">
        <f t="shared" si="35"/>
        <v>1.064889297479521E-2</v>
      </c>
    </row>
    <row r="1153" spans="2:8" x14ac:dyDescent="0.35">
      <c r="B1153" s="74">
        <v>46129</v>
      </c>
      <c r="C1153">
        <v>24353.55</v>
      </c>
      <c r="D1153" s="64">
        <f t="shared" si="34"/>
        <v>6.4802091189932742E-3</v>
      </c>
      <c r="F1153" s="74">
        <v>46129</v>
      </c>
      <c r="G1153" s="40">
        <v>1318.7</v>
      </c>
      <c r="H1153">
        <f t="shared" si="35"/>
        <v>-3.7901758641600836E-4</v>
      </c>
    </row>
    <row r="1154" spans="2:8" x14ac:dyDescent="0.35">
      <c r="B1154" s="74">
        <v>46132</v>
      </c>
      <c r="C1154">
        <v>24364.85</v>
      </c>
      <c r="D1154" s="64">
        <f t="shared" si="34"/>
        <v>4.6399806188412995E-4</v>
      </c>
      <c r="F1154" s="74">
        <v>46132</v>
      </c>
      <c r="G1154" s="40">
        <v>1312.6</v>
      </c>
      <c r="H1154">
        <f t="shared" si="35"/>
        <v>-4.6257678016229375E-3</v>
      </c>
    </row>
    <row r="1155" spans="2:8" x14ac:dyDescent="0.35">
      <c r="B1155" s="74">
        <v>46133</v>
      </c>
      <c r="C1155">
        <v>24576.6</v>
      </c>
      <c r="D1155" s="64">
        <f t="shared" si="34"/>
        <v>8.690798424779933E-3</v>
      </c>
      <c r="F1155" s="74">
        <v>46133</v>
      </c>
      <c r="G1155" s="40">
        <v>1313.2</v>
      </c>
      <c r="H1155">
        <f t="shared" si="35"/>
        <v>4.5710802986453913E-4</v>
      </c>
    </row>
    <row r="1156" spans="2:8" x14ac:dyDescent="0.35">
      <c r="B1156" s="74">
        <v>46134</v>
      </c>
      <c r="C1156">
        <v>24378.1</v>
      </c>
      <c r="D1156" s="64">
        <f t="shared" si="34"/>
        <v>-8.0767884898643727E-3</v>
      </c>
      <c r="F1156" s="74">
        <v>46134</v>
      </c>
      <c r="G1156" s="40">
        <v>1268.5999999999999</v>
      </c>
      <c r="H1156">
        <f t="shared" si="35"/>
        <v>-3.396283886689011E-2</v>
      </c>
    </row>
    <row r="1157" spans="2:8" x14ac:dyDescent="0.35">
      <c r="B1157" s="74">
        <v>46135</v>
      </c>
      <c r="C1157">
        <v>24173.05</v>
      </c>
      <c r="D1157" s="64">
        <f t="shared" si="34"/>
        <v>-8.4112379553779038E-3</v>
      </c>
      <c r="F1157" s="74">
        <v>46135</v>
      </c>
      <c r="G1157" s="40">
        <v>1240.5999999999999</v>
      </c>
      <c r="H1157">
        <f t="shared" si="35"/>
        <v>-2.2071574964527829E-2</v>
      </c>
    </row>
    <row r="1158" spans="2:8" x14ac:dyDescent="0.35">
      <c r="B1158" s="74">
        <v>46136</v>
      </c>
      <c r="C1158">
        <v>23897.95</v>
      </c>
      <c r="D1158" s="64">
        <f t="shared" si="34"/>
        <v>-1.1380442269386726E-2</v>
      </c>
      <c r="F1158" s="74">
        <v>46136</v>
      </c>
      <c r="G1158" s="40">
        <v>1154.5999999999999</v>
      </c>
      <c r="H1158">
        <f t="shared" si="35"/>
        <v>-6.9321296147025646E-2</v>
      </c>
    </row>
    <row r="1159" spans="2:8" x14ac:dyDescent="0.35">
      <c r="B1159" s="74">
        <v>46139</v>
      </c>
      <c r="C1159">
        <v>24092.7</v>
      </c>
      <c r="D1159" s="64">
        <f t="shared" ref="D1159:D1222" si="36">C1159/C1158-1</f>
        <v>8.1492345577758307E-3</v>
      </c>
      <c r="F1159" s="74">
        <v>46139</v>
      </c>
      <c r="G1159" s="40">
        <v>1170.3</v>
      </c>
      <c r="H1159">
        <f t="shared" ref="H1159:H1222" si="37">G1159/G1158-1</f>
        <v>1.3597782781915813E-2</v>
      </c>
    </row>
    <row r="1160" spans="2:8" x14ac:dyDescent="0.35">
      <c r="B1160" s="74">
        <v>46140</v>
      </c>
      <c r="C1160">
        <v>23995.7</v>
      </c>
      <c r="D1160" s="64">
        <f t="shared" si="36"/>
        <v>-4.0261157944107007E-3</v>
      </c>
      <c r="F1160" s="74">
        <v>46140</v>
      </c>
      <c r="G1160" s="40">
        <v>1152.0999999999999</v>
      </c>
      <c r="H1160">
        <f t="shared" si="37"/>
        <v>-1.5551567974023794E-2</v>
      </c>
    </row>
    <row r="1161" spans="2:8" x14ac:dyDescent="0.35">
      <c r="B1161" s="74">
        <v>46141</v>
      </c>
      <c r="C1161">
        <v>24177.65</v>
      </c>
      <c r="D1161" s="64">
        <f t="shared" si="36"/>
        <v>7.5826085506986995E-3</v>
      </c>
      <c r="F1161" s="74">
        <v>46141</v>
      </c>
      <c r="G1161" s="40">
        <v>1167.5</v>
      </c>
      <c r="H1161">
        <f t="shared" si="37"/>
        <v>1.3366895234788734E-2</v>
      </c>
    </row>
    <row r="1162" spans="2:8" x14ac:dyDescent="0.35">
      <c r="B1162" s="74">
        <v>46142</v>
      </c>
      <c r="C1162">
        <v>23997.55</v>
      </c>
      <c r="D1162" s="64">
        <f t="shared" si="36"/>
        <v>-7.4490283381554168E-3</v>
      </c>
      <c r="F1162" s="74">
        <v>46142</v>
      </c>
      <c r="G1162" s="40">
        <v>1181.8</v>
      </c>
      <c r="H1162">
        <f t="shared" si="37"/>
        <v>1.224839400428257E-2</v>
      </c>
    </row>
    <row r="1163" spans="2:8" x14ac:dyDescent="0.35">
      <c r="B1163" s="74">
        <v>46146</v>
      </c>
      <c r="C1163">
        <v>24119.3</v>
      </c>
      <c r="D1163" s="64">
        <f t="shared" si="36"/>
        <v>5.0734345797800451E-3</v>
      </c>
      <c r="F1163" s="74">
        <v>46146</v>
      </c>
      <c r="G1163" s="40">
        <v>1168.4000000000001</v>
      </c>
      <c r="H1163">
        <f t="shared" si="37"/>
        <v>-1.1338635979014966E-2</v>
      </c>
    </row>
    <row r="1164" spans="2:8" x14ac:dyDescent="0.35">
      <c r="B1164" s="74">
        <v>46147</v>
      </c>
      <c r="C1164">
        <v>24032.799999999999</v>
      </c>
      <c r="D1164" s="64">
        <f t="shared" si="36"/>
        <v>-3.5863395703855661E-3</v>
      </c>
      <c r="F1164" s="74">
        <v>46147</v>
      </c>
      <c r="G1164" s="40">
        <v>1178.0999999999999</v>
      </c>
      <c r="H1164">
        <f t="shared" si="37"/>
        <v>8.3019513865112415E-3</v>
      </c>
    </row>
    <row r="1165" spans="2:8" x14ac:dyDescent="0.35">
      <c r="B1165" s="74">
        <v>46148</v>
      </c>
      <c r="C1165">
        <v>24330.95</v>
      </c>
      <c r="D1165" s="64">
        <f t="shared" si="36"/>
        <v>1.2405961852135494E-2</v>
      </c>
      <c r="F1165" s="74">
        <v>46148</v>
      </c>
      <c r="G1165" s="40">
        <v>1167.2</v>
      </c>
      <c r="H1165">
        <f t="shared" si="37"/>
        <v>-9.2521857227738646E-3</v>
      </c>
    </row>
    <row r="1166" spans="2:8" x14ac:dyDescent="0.35">
      <c r="B1166" s="74">
        <v>46149</v>
      </c>
      <c r="C1166">
        <v>24326.65</v>
      </c>
      <c r="D1166" s="64">
        <f t="shared" si="36"/>
        <v>-1.7672963858783586E-4</v>
      </c>
      <c r="F1166" s="74">
        <v>46149</v>
      </c>
      <c r="G1166" s="40">
        <v>1162.7</v>
      </c>
      <c r="H1166">
        <f t="shared" si="37"/>
        <v>-3.8553803975325263E-3</v>
      </c>
    </row>
    <row r="1167" spans="2:8" x14ac:dyDescent="0.35">
      <c r="B1167" s="74">
        <v>46150</v>
      </c>
      <c r="C1167">
        <v>24176.15</v>
      </c>
      <c r="D1167" s="64">
        <f t="shared" si="36"/>
        <v>-6.1866307115858721E-3</v>
      </c>
      <c r="F1167" s="74">
        <v>46150</v>
      </c>
      <c r="G1167" s="40">
        <v>1179.2</v>
      </c>
      <c r="H1167">
        <f t="shared" si="37"/>
        <v>1.4191106906338735E-2</v>
      </c>
    </row>
    <row r="1168" spans="2:8" x14ac:dyDescent="0.35">
      <c r="B1168" s="74">
        <v>46153</v>
      </c>
      <c r="C1168">
        <v>23815.85</v>
      </c>
      <c r="D1168" s="64">
        <f t="shared" si="36"/>
        <v>-1.4903117328441629E-2</v>
      </c>
      <c r="F1168" s="74">
        <v>46153</v>
      </c>
      <c r="G1168" s="40">
        <v>1177</v>
      </c>
      <c r="H1168">
        <f t="shared" si="37"/>
        <v>-1.8656716417910779E-3</v>
      </c>
    </row>
    <row r="1169" spans="2:8" x14ac:dyDescent="0.35">
      <c r="B1169" s="74">
        <v>46154</v>
      </c>
      <c r="C1169">
        <v>23379.55</v>
      </c>
      <c r="D1169" s="64">
        <f t="shared" si="36"/>
        <v>-1.8319732447088732E-2</v>
      </c>
      <c r="F1169" s="74">
        <v>46154</v>
      </c>
      <c r="G1169" s="40">
        <v>1140.3</v>
      </c>
      <c r="H1169">
        <f t="shared" si="37"/>
        <v>-3.1180968564146205E-2</v>
      </c>
    </row>
    <row r="1170" spans="2:8" x14ac:dyDescent="0.35">
      <c r="B1170" s="74">
        <v>46155</v>
      </c>
      <c r="C1170">
        <v>23412.6</v>
      </c>
      <c r="D1170" s="64">
        <f t="shared" si="36"/>
        <v>1.4136285771111368E-3</v>
      </c>
      <c r="F1170" s="74">
        <v>46155</v>
      </c>
      <c r="G1170" s="40">
        <v>1123.0999999999999</v>
      </c>
      <c r="H1170">
        <f t="shared" si="37"/>
        <v>-1.508374989037975E-2</v>
      </c>
    </row>
    <row r="1171" spans="2:8" x14ac:dyDescent="0.35">
      <c r="B1171" s="74">
        <v>46156</v>
      </c>
      <c r="C1171">
        <v>23689.599999999999</v>
      </c>
      <c r="D1171" s="64">
        <f t="shared" si="36"/>
        <v>1.1831236171975679E-2</v>
      </c>
      <c r="F1171" s="74">
        <v>46156</v>
      </c>
      <c r="G1171" s="40">
        <v>1095</v>
      </c>
      <c r="H1171">
        <f t="shared" si="37"/>
        <v>-2.5020033834921129E-2</v>
      </c>
    </row>
    <row r="1172" spans="2:8" x14ac:dyDescent="0.35">
      <c r="B1172" s="74">
        <v>46157</v>
      </c>
      <c r="C1172">
        <v>23643.5</v>
      </c>
      <c r="D1172" s="64">
        <f t="shared" si="36"/>
        <v>-1.946001620964366E-3</v>
      </c>
      <c r="F1172" s="74">
        <v>46157</v>
      </c>
      <c r="G1172" s="40">
        <v>1119</v>
      </c>
      <c r="H1172">
        <f t="shared" si="37"/>
        <v>2.1917808219177992E-2</v>
      </c>
    </row>
    <row r="1173" spans="2:8" x14ac:dyDescent="0.35">
      <c r="B1173" s="74">
        <v>46160</v>
      </c>
      <c r="C1173">
        <v>23649.95</v>
      </c>
      <c r="D1173" s="64">
        <f t="shared" si="36"/>
        <v>2.7280225008996517E-4</v>
      </c>
      <c r="F1173" s="74">
        <v>46160</v>
      </c>
      <c r="G1173" s="40">
        <v>1142.5</v>
      </c>
      <c r="H1173">
        <f t="shared" si="37"/>
        <v>2.1000893655049202E-2</v>
      </c>
    </row>
    <row r="1174" spans="2:8" x14ac:dyDescent="0.35">
      <c r="B1174" s="74">
        <v>46161</v>
      </c>
      <c r="C1174">
        <v>23618</v>
      </c>
      <c r="D1174" s="64">
        <f t="shared" si="36"/>
        <v>-1.3509542303472566E-3</v>
      </c>
      <c r="F1174" s="74">
        <v>46161</v>
      </c>
      <c r="G1174" s="40">
        <v>1196.9000000000001</v>
      </c>
      <c r="H1174">
        <f t="shared" si="37"/>
        <v>4.7614879649890751E-2</v>
      </c>
    </row>
    <row r="1175" spans="2:8" x14ac:dyDescent="0.35">
      <c r="B1175" s="74">
        <v>46162</v>
      </c>
      <c r="C1175">
        <v>23659</v>
      </c>
      <c r="D1175" s="64">
        <f t="shared" si="36"/>
        <v>1.7359640951817301E-3</v>
      </c>
      <c r="F1175" s="74">
        <v>46162</v>
      </c>
      <c r="G1175" s="40">
        <v>1193.7</v>
      </c>
      <c r="H1175">
        <f t="shared" si="37"/>
        <v>-2.6735733979447174E-3</v>
      </c>
    </row>
    <row r="1176" spans="2:8" x14ac:dyDescent="0.35">
      <c r="B1176" s="74">
        <v>46163</v>
      </c>
      <c r="C1176">
        <v>23654.7</v>
      </c>
      <c r="D1176" s="64">
        <f t="shared" si="36"/>
        <v>-1.8174901728729154E-4</v>
      </c>
      <c r="F1176" s="74">
        <v>46163</v>
      </c>
      <c r="G1176" s="40">
        <v>1181.2</v>
      </c>
      <c r="H1176">
        <f t="shared" si="37"/>
        <v>-1.0471642791321067E-2</v>
      </c>
    </row>
    <row r="1177" spans="2:8" x14ac:dyDescent="0.35">
      <c r="B1177" s="74">
        <v>46164</v>
      </c>
      <c r="C1177">
        <v>23719.3</v>
      </c>
      <c r="D1177" s="64">
        <f t="shared" si="36"/>
        <v>2.7309583296342144E-3</v>
      </c>
      <c r="F1177" s="74">
        <v>46164</v>
      </c>
      <c r="G1177" s="40">
        <v>1174.5</v>
      </c>
      <c r="H1177">
        <f t="shared" si="37"/>
        <v>-5.6721977649848432E-3</v>
      </c>
    </row>
    <row r="1178" spans="2:8" x14ac:dyDescent="0.35">
      <c r="B1178" s="74">
        <v>46167</v>
      </c>
      <c r="C1178">
        <v>24031.7</v>
      </c>
      <c r="D1178" s="64">
        <f t="shared" si="36"/>
        <v>1.3170709085006838E-2</v>
      </c>
      <c r="F1178" s="74">
        <v>46167</v>
      </c>
      <c r="G1178" s="40">
        <v>1168.5</v>
      </c>
      <c r="H1178">
        <f t="shared" si="37"/>
        <v>-5.1085568326947328E-3</v>
      </c>
    </row>
    <row r="1179" spans="2:8" x14ac:dyDescent="0.35">
      <c r="B1179" s="74">
        <v>46168</v>
      </c>
      <c r="C1179">
        <v>23913.7</v>
      </c>
      <c r="D1179" s="64">
        <f t="shared" si="36"/>
        <v>-4.9101811357498137E-3</v>
      </c>
      <c r="F1179" s="74">
        <v>46168</v>
      </c>
      <c r="G1179" s="40">
        <v>1167.7</v>
      </c>
      <c r="H1179">
        <f t="shared" si="37"/>
        <v>-6.8463842533161845E-4</v>
      </c>
    </row>
    <row r="1180" spans="2:8" x14ac:dyDescent="0.35">
      <c r="B1180" s="74">
        <v>46169</v>
      </c>
      <c r="C1180">
        <v>23907.15</v>
      </c>
      <c r="D1180" s="64">
        <f t="shared" si="36"/>
        <v>-2.7390157106588209E-4</v>
      </c>
      <c r="F1180" s="74">
        <v>46169</v>
      </c>
      <c r="G1180" s="40">
        <v>1159.9000000000001</v>
      </c>
      <c r="H1180">
        <f t="shared" si="37"/>
        <v>-6.6797978932944257E-3</v>
      </c>
    </row>
    <row r="1181" spans="2:8" x14ac:dyDescent="0.35">
      <c r="B1181" s="74">
        <v>46171</v>
      </c>
      <c r="C1181">
        <v>23547.75</v>
      </c>
      <c r="D1181" s="64">
        <f t="shared" si="36"/>
        <v>-1.5033159535954743E-2</v>
      </c>
      <c r="F1181" s="74">
        <v>46171</v>
      </c>
      <c r="G1181" s="40">
        <v>1160.9000000000001</v>
      </c>
      <c r="H1181">
        <f t="shared" si="37"/>
        <v>8.6214328821454522E-4</v>
      </c>
    </row>
    <row r="1182" spans="2:8" x14ac:dyDescent="0.35">
      <c r="B1182" s="74">
        <v>46174</v>
      </c>
      <c r="C1182">
        <v>23382.6</v>
      </c>
      <c r="D1182" s="64">
        <f t="shared" si="36"/>
        <v>-7.0134089244195952E-3</v>
      </c>
      <c r="F1182" s="74">
        <v>46174</v>
      </c>
      <c r="G1182" s="40">
        <v>1202.5</v>
      </c>
      <c r="H1182">
        <f t="shared" si="37"/>
        <v>3.5834266517357216E-2</v>
      </c>
    </row>
    <row r="1183" spans="2:8" x14ac:dyDescent="0.35">
      <c r="B1183" s="74">
        <v>46175</v>
      </c>
      <c r="C1183">
        <v>23483.55</v>
      </c>
      <c r="D1183" s="64">
        <f t="shared" si="36"/>
        <v>4.3173128736753164E-3</v>
      </c>
      <c r="F1183" s="74">
        <v>46175</v>
      </c>
      <c r="G1183" s="40">
        <v>1270.8</v>
      </c>
      <c r="H1183">
        <f t="shared" si="37"/>
        <v>5.6798336798336679E-2</v>
      </c>
    </row>
    <row r="1184" spans="2:8" x14ac:dyDescent="0.35">
      <c r="B1184" s="74">
        <v>46176</v>
      </c>
      <c r="C1184">
        <v>23405.599999999999</v>
      </c>
      <c r="D1184" s="64">
        <f t="shared" si="36"/>
        <v>-3.3193448179683616E-3</v>
      </c>
      <c r="F1184" s="74">
        <v>46176</v>
      </c>
      <c r="G1184" s="40">
        <v>1222.5999999999999</v>
      </c>
      <c r="H1184">
        <f t="shared" si="37"/>
        <v>-3.7928863707900606E-2</v>
      </c>
    </row>
    <row r="1185" spans="2:8" x14ac:dyDescent="0.35">
      <c r="B1185" s="74">
        <v>46177</v>
      </c>
      <c r="C1185">
        <v>23416.55</v>
      </c>
      <c r="D1185" s="64">
        <f t="shared" si="36"/>
        <v>4.6783675701544958E-4</v>
      </c>
      <c r="F1185" s="74">
        <v>46177</v>
      </c>
      <c r="G1185" s="40">
        <v>1201.3</v>
      </c>
      <c r="H1185">
        <f t="shared" si="37"/>
        <v>-1.7421887780140644E-2</v>
      </c>
    </row>
    <row r="1186" spans="2:8" x14ac:dyDescent="0.35">
      <c r="B1186" s="74">
        <v>46178</v>
      </c>
      <c r="C1186">
        <v>23366.7</v>
      </c>
      <c r="D1186" s="64">
        <f t="shared" si="36"/>
        <v>-2.1288362290772245E-3</v>
      </c>
      <c r="F1186" s="74">
        <v>46178</v>
      </c>
      <c r="G1186" s="40">
        <v>1197.5</v>
      </c>
      <c r="H1186">
        <f t="shared" si="37"/>
        <v>-3.1632398235245107E-3</v>
      </c>
    </row>
    <row r="1187" spans="2:8" x14ac:dyDescent="0.35">
      <c r="B1187" s="74">
        <v>46181</v>
      </c>
      <c r="C1187">
        <v>23123</v>
      </c>
      <c r="D1187" s="64">
        <f t="shared" si="36"/>
        <v>-1.0429371712736502E-2</v>
      </c>
      <c r="F1187" s="74">
        <v>46181</v>
      </c>
      <c r="G1187" s="40">
        <v>1187.5999999999999</v>
      </c>
      <c r="H1187">
        <f t="shared" si="37"/>
        <v>-8.2672233820459962E-3</v>
      </c>
    </row>
    <row r="1188" spans="2:8" x14ac:dyDescent="0.35">
      <c r="B1188" s="74">
        <v>46182</v>
      </c>
      <c r="C1188">
        <v>23242.1</v>
      </c>
      <c r="D1188" s="64">
        <f t="shared" si="36"/>
        <v>5.1507157375771939E-3</v>
      </c>
      <c r="F1188" s="74">
        <v>46182</v>
      </c>
      <c r="G1188" s="40">
        <v>1180.3</v>
      </c>
      <c r="H1188">
        <f t="shared" si="37"/>
        <v>-6.1468507915122261E-3</v>
      </c>
    </row>
    <row r="1189" spans="2:8" x14ac:dyDescent="0.35">
      <c r="B1189" s="74">
        <v>46183</v>
      </c>
      <c r="C1189">
        <v>23214.95</v>
      </c>
      <c r="D1189" s="64">
        <f t="shared" si="36"/>
        <v>-1.1681388514805935E-3</v>
      </c>
      <c r="F1189" s="74">
        <v>46183</v>
      </c>
      <c r="G1189" s="40">
        <v>1145.3</v>
      </c>
      <c r="H1189">
        <f t="shared" si="37"/>
        <v>-2.9653477929340033E-2</v>
      </c>
    </row>
    <row r="1190" spans="2:8" x14ac:dyDescent="0.35">
      <c r="B1190" s="74">
        <v>46184</v>
      </c>
      <c r="C1190">
        <v>23161.599999999999</v>
      </c>
      <c r="D1190" s="64">
        <f t="shared" si="36"/>
        <v>-2.2980880854794883E-3</v>
      </c>
      <c r="F1190" s="74">
        <v>46184</v>
      </c>
      <c r="G1190" s="40">
        <v>1114.5999999999999</v>
      </c>
      <c r="H1190">
        <f t="shared" si="37"/>
        <v>-2.680520387671359E-2</v>
      </c>
    </row>
    <row r="1191" spans="2:8" x14ac:dyDescent="0.35">
      <c r="B1191" s="74">
        <v>46185</v>
      </c>
      <c r="C1191">
        <v>23622.9</v>
      </c>
      <c r="D1191" s="64">
        <f t="shared" si="36"/>
        <v>1.9916586073501108E-2</v>
      </c>
      <c r="F1191" s="74">
        <v>46185</v>
      </c>
      <c r="G1191" s="40">
        <v>1116.4000000000001</v>
      </c>
      <c r="H1191">
        <f t="shared" si="37"/>
        <v>1.6149291225553419E-3</v>
      </c>
    </row>
    <row r="1192" spans="2:8" x14ac:dyDescent="0.35">
      <c r="B1192" s="74">
        <v>46188</v>
      </c>
      <c r="C1192">
        <v>23853.9</v>
      </c>
      <c r="D1192" s="64">
        <f t="shared" si="36"/>
        <v>9.7786469908436313E-3</v>
      </c>
      <c r="F1192" s="74">
        <v>46188</v>
      </c>
      <c r="G1192" s="40">
        <v>1134.9000000000001</v>
      </c>
      <c r="H1192">
        <f t="shared" si="37"/>
        <v>1.6571121461841587E-2</v>
      </c>
    </row>
    <row r="1193" spans="2:8" x14ac:dyDescent="0.35">
      <c r="B1193" s="74">
        <v>46189</v>
      </c>
      <c r="C1193">
        <v>23989.15</v>
      </c>
      <c r="D1193" s="64">
        <f t="shared" si="36"/>
        <v>5.6699323800299961E-3</v>
      </c>
      <c r="F1193" s="74">
        <v>46189</v>
      </c>
      <c r="G1193" s="40">
        <v>1143.5999999999999</v>
      </c>
      <c r="H1193">
        <f t="shared" si="37"/>
        <v>7.6658736452548393E-3</v>
      </c>
    </row>
    <row r="1194" spans="2:8" x14ac:dyDescent="0.35">
      <c r="B1194" s="74">
        <v>46190</v>
      </c>
      <c r="C1194">
        <v>24085.7</v>
      </c>
      <c r="D1194" s="64">
        <f t="shared" si="36"/>
        <v>4.0247361828158468E-3</v>
      </c>
      <c r="F1194" s="74">
        <v>46190</v>
      </c>
      <c r="G1194" s="40">
        <v>1157.7</v>
      </c>
      <c r="H1194">
        <f t="shared" si="37"/>
        <v>1.2329485834207787E-2</v>
      </c>
    </row>
    <row r="1195" spans="2:8" x14ac:dyDescent="0.35">
      <c r="B1195" s="74">
        <v>46191</v>
      </c>
      <c r="C1195">
        <v>24168</v>
      </c>
      <c r="D1195" s="64">
        <f t="shared" si="36"/>
        <v>3.4169652532414219E-3</v>
      </c>
      <c r="F1195" s="74">
        <v>46191</v>
      </c>
      <c r="G1195" s="40">
        <v>1127.5</v>
      </c>
      <c r="H1195">
        <f t="shared" si="37"/>
        <v>-2.6086205407273133E-2</v>
      </c>
    </row>
    <row r="1196" spans="2:8" x14ac:dyDescent="0.35">
      <c r="B1196" s="74">
        <v>46192</v>
      </c>
      <c r="C1196">
        <v>24013.1</v>
      </c>
      <c r="D1196" s="64">
        <f t="shared" si="36"/>
        <v>-6.4093015557763477E-3</v>
      </c>
      <c r="F1196" s="74">
        <v>46192</v>
      </c>
      <c r="G1196" s="40">
        <v>1051.4000000000001</v>
      </c>
      <c r="H1196">
        <f t="shared" si="37"/>
        <v>-6.7494456762749344E-2</v>
      </c>
    </row>
    <row r="1197" spans="2:8" x14ac:dyDescent="0.35">
      <c r="B1197" s="74">
        <v>46195</v>
      </c>
      <c r="C1197">
        <v>24102.9</v>
      </c>
      <c r="D1197" s="64">
        <f t="shared" si="36"/>
        <v>3.7396254544395102E-3</v>
      </c>
      <c r="F1197" s="74">
        <v>46195</v>
      </c>
      <c r="G1197" s="40">
        <v>1065.4000000000001</v>
      </c>
      <c r="H1197">
        <f t="shared" si="37"/>
        <v>1.3315579227696439E-2</v>
      </c>
    </row>
    <row r="1198" spans="2:8" x14ac:dyDescent="0.35">
      <c r="B1198" s="74">
        <v>46196</v>
      </c>
      <c r="C1198">
        <v>23824.1</v>
      </c>
      <c r="D1198" s="64">
        <f t="shared" si="36"/>
        <v>-1.1567072841857318E-2</v>
      </c>
      <c r="F1198" s="74">
        <v>46196</v>
      </c>
      <c r="G1198" s="40">
        <v>1029.3</v>
      </c>
      <c r="H1198">
        <f t="shared" si="37"/>
        <v>-3.3883987234841539E-2</v>
      </c>
    </row>
    <row r="1199" spans="2:8" x14ac:dyDescent="0.35">
      <c r="B1199" s="74">
        <v>46197</v>
      </c>
      <c r="C1199">
        <v>24021.65</v>
      </c>
      <c r="D1199" s="64">
        <f t="shared" si="36"/>
        <v>8.2920236231380784E-3</v>
      </c>
      <c r="F1199" s="74">
        <v>46197</v>
      </c>
      <c r="G1199" s="40">
        <v>1056.5999999999999</v>
      </c>
      <c r="H1199">
        <f t="shared" si="37"/>
        <v>2.6522879626930784E-2</v>
      </c>
    </row>
    <row r="1200" spans="2:8" x14ac:dyDescent="0.35">
      <c r="B1200" s="74">
        <v>46198</v>
      </c>
      <c r="C1200">
        <v>24056</v>
      </c>
      <c r="D1200" s="64">
        <f t="shared" si="36"/>
        <v>1.4299600568652426E-3</v>
      </c>
      <c r="F1200" s="74">
        <v>46198</v>
      </c>
      <c r="G1200" s="40">
        <v>1041.2</v>
      </c>
      <c r="H1200">
        <f t="shared" si="37"/>
        <v>-1.4575052053757198E-2</v>
      </c>
    </row>
    <row r="1201" spans="2:8" x14ac:dyDescent="0.35">
      <c r="B1201" s="74">
        <v>46202</v>
      </c>
      <c r="C1201">
        <v>23946.25</v>
      </c>
      <c r="D1201" s="64">
        <f t="shared" si="36"/>
        <v>-4.5622713668107551E-3</v>
      </c>
      <c r="F1201" s="74">
        <v>46202</v>
      </c>
      <c r="G1201" s="40">
        <v>1036.7</v>
      </c>
      <c r="H1201">
        <f t="shared" si="37"/>
        <v>-4.3219362274299344E-3</v>
      </c>
    </row>
    <row r="1202" spans="2:8" x14ac:dyDescent="0.35">
      <c r="B1202" s="74">
        <v>46203</v>
      </c>
      <c r="C1202">
        <v>23865.75</v>
      </c>
      <c r="D1202" s="64">
        <f t="shared" si="36"/>
        <v>-3.3616954637991636E-3</v>
      </c>
      <c r="F1202" s="74">
        <v>46203</v>
      </c>
      <c r="G1202" s="40">
        <v>1000.4</v>
      </c>
      <c r="H1202">
        <f t="shared" si="37"/>
        <v>-3.5014951287740015E-2</v>
      </c>
    </row>
    <row r="1203" spans="2:8" x14ac:dyDescent="0.35">
      <c r="B1203" s="74">
        <v>46204</v>
      </c>
      <c r="C1203">
        <v>24005.85</v>
      </c>
      <c r="D1203" s="64">
        <f t="shared" si="36"/>
        <v>5.8703371987052222E-3</v>
      </c>
      <c r="F1203" s="74">
        <v>46204</v>
      </c>
      <c r="G1203">
        <v>985.3</v>
      </c>
      <c r="H1203">
        <f t="shared" si="37"/>
        <v>-1.5093962415034023E-2</v>
      </c>
    </row>
    <row r="1204" spans="2:8" x14ac:dyDescent="0.35">
      <c r="B1204" s="74">
        <v>46205</v>
      </c>
      <c r="C1204">
        <v>24175.7</v>
      </c>
      <c r="D1204" s="64">
        <f t="shared" si="36"/>
        <v>7.0753587146468178E-3</v>
      </c>
      <c r="F1204" s="74">
        <v>46205</v>
      </c>
      <c r="G1204" s="40">
        <v>1040.9000000000001</v>
      </c>
      <c r="H1204">
        <f t="shared" si="37"/>
        <v>5.6429513853648805E-2</v>
      </c>
    </row>
    <row r="1205" spans="2:8" x14ac:dyDescent="0.35">
      <c r="B1205" s="74">
        <v>46206</v>
      </c>
      <c r="C1205">
        <v>24270.85</v>
      </c>
      <c r="D1205" s="64">
        <f t="shared" si="36"/>
        <v>3.9357702155469187E-3</v>
      </c>
      <c r="F1205" s="74">
        <v>46206</v>
      </c>
      <c r="G1205" s="40">
        <v>1047.2</v>
      </c>
      <c r="H1205">
        <f t="shared" si="37"/>
        <v>6.0524546065903184E-3</v>
      </c>
    </row>
    <row r="1206" spans="2:8" x14ac:dyDescent="0.35">
      <c r="B1206" s="74">
        <v>46209</v>
      </c>
      <c r="C1206">
        <v>24430.35</v>
      </c>
      <c r="D1206" s="64">
        <f t="shared" si="36"/>
        <v>6.5716693070081433E-3</v>
      </c>
      <c r="F1206" s="74">
        <v>46209</v>
      </c>
      <c r="G1206" s="40">
        <v>1042.2</v>
      </c>
      <c r="H1206">
        <f t="shared" si="37"/>
        <v>-4.7746371275783073E-3</v>
      </c>
    </row>
    <row r="1207" spans="2:8" x14ac:dyDescent="0.35">
      <c r="B1207" s="74">
        <v>46210</v>
      </c>
      <c r="C1207">
        <v>24398.7</v>
      </c>
      <c r="D1207" s="64">
        <f t="shared" si="36"/>
        <v>-1.2955197121612416E-3</v>
      </c>
      <c r="F1207" s="74">
        <v>46210</v>
      </c>
      <c r="G1207" s="40">
        <v>1071.8</v>
      </c>
      <c r="H1207">
        <f t="shared" si="37"/>
        <v>2.8401458453271911E-2</v>
      </c>
    </row>
    <row r="1208" spans="2:8" x14ac:dyDescent="0.35">
      <c r="B1208" s="74">
        <v>46211</v>
      </c>
      <c r="C1208">
        <v>23882.05</v>
      </c>
      <c r="D1208" s="64">
        <f t="shared" si="36"/>
        <v>-2.1175308520535951E-2</v>
      </c>
      <c r="F1208" s="74">
        <v>46211</v>
      </c>
      <c r="G1208" s="40">
        <v>1069.3</v>
      </c>
      <c r="H1208">
        <f t="shared" si="37"/>
        <v>-2.3325247247620862E-3</v>
      </c>
    </row>
    <row r="1209" spans="2:8" x14ac:dyDescent="0.35">
      <c r="B1209" s="74">
        <v>46212</v>
      </c>
      <c r="C1209">
        <v>23962.799999999999</v>
      </c>
      <c r="D1209" s="64">
        <f t="shared" si="36"/>
        <v>3.3812005250806187E-3</v>
      </c>
      <c r="F1209" s="74">
        <v>46212</v>
      </c>
      <c r="G1209" s="40">
        <v>1050.8</v>
      </c>
      <c r="H1209">
        <f t="shared" si="37"/>
        <v>-1.730103806228378E-2</v>
      </c>
    </row>
    <row r="1210" spans="2:8" x14ac:dyDescent="0.35">
      <c r="B1210" s="74">
        <v>46213</v>
      </c>
      <c r="C1210">
        <v>24206.9</v>
      </c>
      <c r="D1210" s="64">
        <f t="shared" si="36"/>
        <v>1.0186622598360895E-2</v>
      </c>
      <c r="F1210" s="74">
        <v>46213</v>
      </c>
      <c r="G1210" s="40">
        <v>1068</v>
      </c>
      <c r="H1210">
        <f t="shared" si="37"/>
        <v>1.6368481157213566E-2</v>
      </c>
    </row>
    <row r="1211" spans="2:8" x14ac:dyDescent="0.35">
      <c r="B1211" s="74">
        <v>46216</v>
      </c>
      <c r="C1211">
        <v>24211</v>
      </c>
      <c r="D1211" s="64">
        <f t="shared" si="36"/>
        <v>1.6937319524590322E-4</v>
      </c>
      <c r="F1211" s="74">
        <v>46216</v>
      </c>
      <c r="G1211" s="40">
        <v>1102.5999999999999</v>
      </c>
      <c r="H1211">
        <f t="shared" si="37"/>
        <v>3.2397003745318287E-2</v>
      </c>
    </row>
    <row r="1212" spans="2:8" x14ac:dyDescent="0.35">
      <c r="B1212" s="74">
        <v>46217</v>
      </c>
      <c r="C1212">
        <v>24052.05</v>
      </c>
      <c r="D1212" s="64">
        <f t="shared" si="36"/>
        <v>-6.5651976374375698E-3</v>
      </c>
      <c r="F1212" s="74">
        <v>46217</v>
      </c>
      <c r="G1212" s="40">
        <v>1092.9000000000001</v>
      </c>
      <c r="H1212">
        <f t="shared" si="37"/>
        <v>-8.7973879920186793E-3</v>
      </c>
    </row>
    <row r="1213" spans="2:8" x14ac:dyDescent="0.35">
      <c r="B1213" s="74">
        <v>46218</v>
      </c>
      <c r="C1213">
        <v>24078.5</v>
      </c>
      <c r="D1213" s="64">
        <f t="shared" si="36"/>
        <v>1.0996983625095602E-3</v>
      </c>
      <c r="F1213" s="74">
        <v>46218</v>
      </c>
      <c r="G1213" s="40">
        <v>1076.3</v>
      </c>
      <c r="H1213">
        <f t="shared" si="37"/>
        <v>-1.5188946838686213E-2</v>
      </c>
    </row>
    <row r="1214" spans="2:8" x14ac:dyDescent="0.35">
      <c r="B1214" s="74">
        <v>46219</v>
      </c>
      <c r="C1214">
        <v>24072.75</v>
      </c>
      <c r="D1214" s="64">
        <f t="shared" si="36"/>
        <v>-2.3880225097083763E-4</v>
      </c>
      <c r="F1214" s="74">
        <v>46219</v>
      </c>
      <c r="G1214" s="40">
        <v>1082.4000000000001</v>
      </c>
      <c r="H1214">
        <f t="shared" si="37"/>
        <v>5.6675648053516881E-3</v>
      </c>
    </row>
    <row r="1215" spans="2:8" x14ac:dyDescent="0.35">
      <c r="B1215" s="74">
        <v>46220</v>
      </c>
      <c r="C1215">
        <v>24334.3</v>
      </c>
      <c r="D1215" s="64">
        <f t="shared" si="36"/>
        <v>1.0864982189404904E-2</v>
      </c>
      <c r="F1215" s="74">
        <v>46220</v>
      </c>
      <c r="G1215" s="40">
        <v>1096.5</v>
      </c>
      <c r="H1215">
        <f t="shared" si="37"/>
        <v>1.3026607538802581E-2</v>
      </c>
    </row>
    <row r="1216" spans="2:8" x14ac:dyDescent="0.35">
      <c r="B1216" s="74">
        <v>46223</v>
      </c>
      <c r="C1216">
        <v>24238.5</v>
      </c>
      <c r="D1216" s="64">
        <f t="shared" si="36"/>
        <v>-3.9368299067571444E-3</v>
      </c>
      <c r="F1216" s="74">
        <v>46223</v>
      </c>
      <c r="G1216" s="40">
        <v>1087.0999999999999</v>
      </c>
      <c r="H1216">
        <f t="shared" si="37"/>
        <v>-8.572731418148738E-3</v>
      </c>
    </row>
    <row r="1217" spans="2:8" x14ac:dyDescent="0.35">
      <c r="B1217" s="74">
        <v>46224</v>
      </c>
      <c r="C1217">
        <v>24187.7</v>
      </c>
      <c r="D1217" s="64">
        <f t="shared" si="36"/>
        <v>-2.0958392639808254E-3</v>
      </c>
      <c r="F1217" s="74">
        <v>46224</v>
      </c>
      <c r="G1217" s="40">
        <v>1073.5</v>
      </c>
      <c r="H1217">
        <f t="shared" si="37"/>
        <v>-1.2510348633980262E-2</v>
      </c>
    </row>
    <row r="1218" spans="2:8" x14ac:dyDescent="0.35">
      <c r="B1218" s="74">
        <v>46225</v>
      </c>
      <c r="C1218">
        <v>23996.25</v>
      </c>
      <c r="D1218" s="64">
        <f t="shared" si="36"/>
        <v>-7.9151800295191865E-3</v>
      </c>
      <c r="F1218" s="74">
        <v>46225</v>
      </c>
      <c r="G1218" s="40">
        <v>1052.0999999999999</v>
      </c>
      <c r="H1218">
        <f t="shared" si="37"/>
        <v>-1.9934792734047635E-2</v>
      </c>
    </row>
    <row r="1219" spans="2:8" x14ac:dyDescent="0.35">
      <c r="B1219" s="74">
        <v>46226</v>
      </c>
      <c r="C1219">
        <v>23869.599999999999</v>
      </c>
      <c r="D1219" s="64">
        <f t="shared" si="36"/>
        <v>-5.2779080064594419E-3</v>
      </c>
      <c r="F1219" s="74">
        <v>46226</v>
      </c>
      <c r="G1219" s="40">
        <v>1047.4000000000001</v>
      </c>
      <c r="H1219">
        <f t="shared" si="37"/>
        <v>-4.4672559642617848E-3</v>
      </c>
    </row>
    <row r="1220" spans="2:8" x14ac:dyDescent="0.35">
      <c r="B1220" s="74">
        <v>46227</v>
      </c>
      <c r="C1220">
        <v>23767.45</v>
      </c>
      <c r="D1220" s="64">
        <f t="shared" si="36"/>
        <v>-4.2795019606527429E-3</v>
      </c>
      <c r="F1220" s="74">
        <v>46227</v>
      </c>
      <c r="G1220" s="40">
        <v>1040.9000000000001</v>
      </c>
      <c r="H1220">
        <f t="shared" si="37"/>
        <v>-6.2058430399083431E-3</v>
      </c>
    </row>
    <row r="1221" spans="2:8" x14ac:dyDescent="0.35">
      <c r="B1221" s="74">
        <v>46230</v>
      </c>
      <c r="C1221">
        <v>23995.95</v>
      </c>
      <c r="D1221" s="64">
        <f t="shared" si="36"/>
        <v>9.6139888797495132E-3</v>
      </c>
      <c r="F1221" s="74">
        <v>46230</v>
      </c>
      <c r="G1221" s="40">
        <v>1079.2</v>
      </c>
      <c r="H1221">
        <f t="shared" si="37"/>
        <v>3.6795081179748168E-2</v>
      </c>
    </row>
    <row r="1222" spans="2:8" x14ac:dyDescent="0.35">
      <c r="B1222" s="74">
        <v>46231</v>
      </c>
      <c r="C1222">
        <v>23985.35</v>
      </c>
      <c r="D1222" s="64">
        <f t="shared" si="36"/>
        <v>-4.4174121049600501E-4</v>
      </c>
      <c r="F1222" s="74">
        <v>46231</v>
      </c>
      <c r="G1222" s="40">
        <v>1105.7</v>
      </c>
      <c r="H1222">
        <f t="shared" si="37"/>
        <v>2.4555226093402549E-2</v>
      </c>
    </row>
    <row r="1223" spans="2:8" x14ac:dyDescent="0.35">
      <c r="B1223" s="74">
        <v>46232</v>
      </c>
      <c r="C1223">
        <v>24250.2</v>
      </c>
      <c r="D1223" s="64">
        <f t="shared" ref="D1223:D1245" si="38">C1223/C1222-1</f>
        <v>1.1042156983325224E-2</v>
      </c>
      <c r="F1223" s="74">
        <v>46232</v>
      </c>
      <c r="G1223" s="40">
        <v>1155.5999999999999</v>
      </c>
      <c r="H1223">
        <f t="shared" ref="H1223:H1245" si="39">G1223/G1222-1</f>
        <v>4.5129782038527466E-2</v>
      </c>
    </row>
    <row r="1224" spans="2:8" x14ac:dyDescent="0.35">
      <c r="B1224" s="74">
        <v>46233</v>
      </c>
      <c r="C1224">
        <v>24317.15</v>
      </c>
      <c r="D1224" s="64">
        <f t="shared" si="38"/>
        <v>2.7608019727671795E-3</v>
      </c>
      <c r="F1224" s="74">
        <v>46233</v>
      </c>
      <c r="G1224" s="40">
        <v>1155.0999999999999</v>
      </c>
      <c r="H1224">
        <f t="shared" si="39"/>
        <v>-4.3267566632054777E-4</v>
      </c>
    </row>
    <row r="1225" spans="2:8" x14ac:dyDescent="0.35">
      <c r="B1225" s="74">
        <v>46234</v>
      </c>
      <c r="C1225">
        <v>24383.599999999999</v>
      </c>
      <c r="D1225" s="64">
        <f t="shared" si="38"/>
        <v>2.7326393101163582E-3</v>
      </c>
      <c r="F1225" s="74">
        <v>46234</v>
      </c>
      <c r="G1225" s="40">
        <v>1130.0999999999999</v>
      </c>
      <c r="H1225">
        <f t="shared" si="39"/>
        <v>-2.1643147779413008E-2</v>
      </c>
    </row>
    <row r="1226" spans="2:8" x14ac:dyDescent="0.35">
      <c r="B1226" s="74">
        <v>46237</v>
      </c>
      <c r="C1226">
        <v>24774.3</v>
      </c>
      <c r="D1226" s="64">
        <f t="shared" si="38"/>
        <v>1.6023064682819665E-2</v>
      </c>
      <c r="F1226" s="74">
        <v>46237</v>
      </c>
      <c r="G1226" s="40">
        <v>1180</v>
      </c>
      <c r="H1226">
        <f t="shared" si="39"/>
        <v>4.4155384479249715E-2</v>
      </c>
    </row>
    <row r="1227" spans="2:8" x14ac:dyDescent="0.35">
      <c r="B1227" s="74">
        <v>46238</v>
      </c>
      <c r="C1227">
        <v>24614.9</v>
      </c>
      <c r="D1227" s="64">
        <f t="shared" si="38"/>
        <v>-6.4340869368659792E-3</v>
      </c>
      <c r="F1227" s="74">
        <v>46238</v>
      </c>
      <c r="G1227" s="40">
        <v>1167.5</v>
      </c>
      <c r="H1227">
        <f t="shared" si="39"/>
        <v>-1.0593220338983023E-2</v>
      </c>
    </row>
    <row r="1228" spans="2:8" x14ac:dyDescent="0.35">
      <c r="B1228" s="74">
        <v>46239</v>
      </c>
      <c r="C1228">
        <v>24624.65</v>
      </c>
      <c r="D1228" s="64">
        <f t="shared" si="38"/>
        <v>3.9610154824920585E-4</v>
      </c>
      <c r="F1228" s="74">
        <v>46239</v>
      </c>
      <c r="G1228" s="40">
        <v>1174</v>
      </c>
      <c r="H1228">
        <f t="shared" si="39"/>
        <v>5.5674518201285217E-3</v>
      </c>
    </row>
    <row r="1229" spans="2:8" x14ac:dyDescent="0.35">
      <c r="B1229" s="74">
        <v>46240</v>
      </c>
      <c r="C1229">
        <v>24636</v>
      </c>
      <c r="D1229" s="64">
        <f t="shared" si="38"/>
        <v>4.6092025673449832E-4</v>
      </c>
      <c r="F1229" s="74">
        <v>46240</v>
      </c>
      <c r="G1229" s="40">
        <v>1165</v>
      </c>
      <c r="H1229">
        <f t="shared" si="39"/>
        <v>-7.6660988074956915E-3</v>
      </c>
    </row>
    <row r="1230" spans="2:8" x14ac:dyDescent="0.35">
      <c r="B1230" s="74">
        <v>46241</v>
      </c>
      <c r="C1230">
        <v>24570.65</v>
      </c>
      <c r="D1230" s="64">
        <f t="shared" si="38"/>
        <v>-2.6526221789251458E-3</v>
      </c>
      <c r="F1230" s="74">
        <v>46241</v>
      </c>
      <c r="G1230" s="40">
        <v>1175.0999999999999</v>
      </c>
      <c r="H1230">
        <f t="shared" si="39"/>
        <v>8.6695278969957101E-3</v>
      </c>
    </row>
    <row r="1231" spans="2:8" x14ac:dyDescent="0.35">
      <c r="B1231" s="74">
        <v>46244</v>
      </c>
      <c r="C1231">
        <v>24583.8</v>
      </c>
      <c r="D1231" s="64">
        <f t="shared" si="38"/>
        <v>5.3519137670332562E-4</v>
      </c>
      <c r="F1231" s="74">
        <v>46244</v>
      </c>
      <c r="G1231" s="40">
        <v>1183</v>
      </c>
      <c r="H1231">
        <f t="shared" si="39"/>
        <v>6.7228320993959478E-3</v>
      </c>
    </row>
    <row r="1232" spans="2:8" x14ac:dyDescent="0.35">
      <c r="B1232" s="74">
        <v>46245</v>
      </c>
      <c r="C1232">
        <v>24471.7</v>
      </c>
      <c r="D1232" s="64">
        <f t="shared" si="38"/>
        <v>-4.5599134389312512E-3</v>
      </c>
      <c r="F1232" s="74">
        <v>46245</v>
      </c>
      <c r="G1232" s="40">
        <v>1190.7</v>
      </c>
      <c r="H1232">
        <f t="shared" si="39"/>
        <v>6.5088757396449815E-3</v>
      </c>
    </row>
    <row r="1233" spans="2:8" x14ac:dyDescent="0.35">
      <c r="B1233" s="74">
        <v>46246</v>
      </c>
      <c r="C1233">
        <v>24435.95</v>
      </c>
      <c r="D1233" s="64">
        <f t="shared" si="38"/>
        <v>-1.4608711286915321E-3</v>
      </c>
      <c r="F1233" s="74">
        <v>46246</v>
      </c>
      <c r="G1233" s="40">
        <v>1176.0999999999999</v>
      </c>
      <c r="H1233">
        <f t="shared" si="39"/>
        <v>-1.226169480137751E-2</v>
      </c>
    </row>
    <row r="1234" spans="2:8" x14ac:dyDescent="0.35">
      <c r="B1234" s="74">
        <v>46247</v>
      </c>
      <c r="C1234">
        <v>24395.85</v>
      </c>
      <c r="D1234" s="64">
        <f t="shared" si="38"/>
        <v>-1.6410248015731321E-3</v>
      </c>
      <c r="F1234" s="74">
        <v>46247</v>
      </c>
      <c r="G1234" s="40">
        <v>1175</v>
      </c>
      <c r="H1234">
        <f t="shared" si="39"/>
        <v>-9.3529461780450518E-4</v>
      </c>
    </row>
    <row r="1235" spans="2:8" x14ac:dyDescent="0.35">
      <c r="B1235" s="74">
        <v>46248</v>
      </c>
      <c r="C1235">
        <v>24366</v>
      </c>
      <c r="D1235" s="64">
        <f t="shared" si="38"/>
        <v>-1.2235687627197844E-3</v>
      </c>
      <c r="F1235" s="74">
        <v>46248</v>
      </c>
      <c r="G1235" s="40">
        <v>1169.2</v>
      </c>
      <c r="H1235">
        <f t="shared" si="39"/>
        <v>-4.9361702127659335E-3</v>
      </c>
    </row>
    <row r="1236" spans="2:8" x14ac:dyDescent="0.35">
      <c r="B1236" s="74">
        <v>46251</v>
      </c>
      <c r="C1236">
        <v>24287.65</v>
      </c>
      <c r="D1236" s="64">
        <f t="shared" si="38"/>
        <v>-3.2155462529753764E-3</v>
      </c>
      <c r="F1236" s="74">
        <v>46251</v>
      </c>
      <c r="G1236" s="40">
        <v>1139.9000000000001</v>
      </c>
      <c r="H1236">
        <f t="shared" si="39"/>
        <v>-2.5059869996578832E-2</v>
      </c>
    </row>
    <row r="1237" spans="2:8" x14ac:dyDescent="0.35">
      <c r="B1237" s="74">
        <v>46252</v>
      </c>
      <c r="C1237">
        <v>24154.9</v>
      </c>
      <c r="D1237" s="64">
        <f t="shared" si="38"/>
        <v>-5.4657408188935053E-3</v>
      </c>
      <c r="F1237" s="74">
        <v>46252</v>
      </c>
      <c r="G1237" s="40">
        <v>1115</v>
      </c>
      <c r="H1237">
        <f t="shared" si="39"/>
        <v>-2.1844021405386549E-2</v>
      </c>
    </row>
    <row r="1238" spans="2:8" x14ac:dyDescent="0.35">
      <c r="B1238" s="74">
        <v>46253</v>
      </c>
      <c r="C1238">
        <v>24078.3</v>
      </c>
      <c r="D1238" s="64">
        <f t="shared" si="38"/>
        <v>-3.1711992183781623E-3</v>
      </c>
      <c r="F1238" s="74">
        <v>46253</v>
      </c>
      <c r="G1238" s="40">
        <v>1119.8</v>
      </c>
      <c r="H1238">
        <f t="shared" si="39"/>
        <v>4.3049327354258704E-3</v>
      </c>
    </row>
    <row r="1239" spans="2:8" x14ac:dyDescent="0.35">
      <c r="B1239" s="74">
        <v>46254</v>
      </c>
      <c r="C1239">
        <v>24231.85</v>
      </c>
      <c r="D1239" s="64">
        <f t="shared" si="38"/>
        <v>6.3771113409167857E-3</v>
      </c>
      <c r="F1239" s="74">
        <v>46254</v>
      </c>
      <c r="G1239" s="40">
        <v>1130</v>
      </c>
      <c r="H1239">
        <f t="shared" si="39"/>
        <v>9.1087694231113403E-3</v>
      </c>
    </row>
    <row r="1240" spans="2:8" x14ac:dyDescent="0.35">
      <c r="B1240" s="74">
        <v>46255</v>
      </c>
      <c r="C1240">
        <v>24252</v>
      </c>
      <c r="D1240" s="64">
        <f t="shared" si="38"/>
        <v>8.3155021180814082E-4</v>
      </c>
      <c r="F1240" s="74">
        <v>46255</v>
      </c>
      <c r="G1240" s="40">
        <v>1121</v>
      </c>
      <c r="H1240">
        <f t="shared" si="39"/>
        <v>-7.964601769911539E-3</v>
      </c>
    </row>
    <row r="1241" spans="2:8" x14ac:dyDescent="0.35">
      <c r="B1241" s="74">
        <v>46258</v>
      </c>
      <c r="C1241">
        <v>24219.05</v>
      </c>
      <c r="D1241" s="64">
        <f t="shared" si="38"/>
        <v>-1.3586508329209712E-3</v>
      </c>
      <c r="F1241" s="74">
        <v>46258</v>
      </c>
      <c r="G1241" s="40">
        <v>1130</v>
      </c>
      <c r="H1241">
        <f t="shared" si="39"/>
        <v>8.0285459411240101E-3</v>
      </c>
    </row>
    <row r="1242" spans="2:8" x14ac:dyDescent="0.35">
      <c r="B1242" s="74">
        <v>46259</v>
      </c>
      <c r="C1242">
        <v>24334.55</v>
      </c>
      <c r="D1242" s="64">
        <f t="shared" si="38"/>
        <v>4.7689731843321148E-3</v>
      </c>
      <c r="F1242" s="74">
        <v>46259</v>
      </c>
      <c r="G1242" s="40">
        <v>1144</v>
      </c>
      <c r="H1242">
        <f t="shared" si="39"/>
        <v>1.2389380530973382E-2</v>
      </c>
    </row>
    <row r="1243" spans="2:8" x14ac:dyDescent="0.35">
      <c r="B1243" s="74">
        <v>46260</v>
      </c>
      <c r="C1243">
        <v>24207.75</v>
      </c>
      <c r="D1243" s="64">
        <f t="shared" si="38"/>
        <v>-5.2106983691910802E-3</v>
      </c>
      <c r="F1243" s="74">
        <v>46260</v>
      </c>
      <c r="G1243" s="40">
        <v>1120</v>
      </c>
      <c r="H1243">
        <f t="shared" si="39"/>
        <v>-2.0979020979020935E-2</v>
      </c>
    </row>
    <row r="1244" spans="2:8" x14ac:dyDescent="0.35">
      <c r="B1244" s="74">
        <v>46261</v>
      </c>
      <c r="C1244">
        <v>24090.85</v>
      </c>
      <c r="D1244" s="64">
        <f t="shared" si="38"/>
        <v>-4.829032024868174E-3</v>
      </c>
      <c r="F1244" s="74">
        <v>46261</v>
      </c>
      <c r="G1244" s="40">
        <v>1110.8</v>
      </c>
      <c r="H1244">
        <f t="shared" si="39"/>
        <v>-8.2142857142857295E-3</v>
      </c>
    </row>
    <row r="1245" spans="2:8" x14ac:dyDescent="0.35">
      <c r="B1245" s="74">
        <v>46262</v>
      </c>
      <c r="C1245">
        <v>24175.65</v>
      </c>
      <c r="D1245" s="64">
        <f t="shared" si="38"/>
        <v>3.5200086339834957E-3</v>
      </c>
      <c r="F1245" s="74">
        <v>46262</v>
      </c>
      <c r="G1245" s="40">
        <v>1144</v>
      </c>
      <c r="H1245">
        <f t="shared" si="39"/>
        <v>2.9888368743248073E-2</v>
      </c>
    </row>
    <row r="1246" spans="2:8" x14ac:dyDescent="0.35">
      <c r="F1246" s="74"/>
    </row>
    <row r="1247" spans="2:8" x14ac:dyDescent="0.35">
      <c r="F1247" s="74"/>
    </row>
    <row r="1248" spans="2:8" x14ac:dyDescent="0.35">
      <c r="F1248" s="74"/>
    </row>
    <row r="1249" spans="6:6" x14ac:dyDescent="0.35">
      <c r="F1249" s="74"/>
    </row>
    <row r="1250" spans="6:6" x14ac:dyDescent="0.35">
      <c r="F1250" s="74"/>
    </row>
    <row r="1251" spans="6:6" x14ac:dyDescent="0.35">
      <c r="F1251" s="74"/>
    </row>
    <row r="1252" spans="6:6" x14ac:dyDescent="0.35">
      <c r="F1252" s="74"/>
    </row>
    <row r="1253" spans="6:6" x14ac:dyDescent="0.35">
      <c r="F1253" s="74"/>
    </row>
    <row r="1254" spans="6:6" x14ac:dyDescent="0.35">
      <c r="F1254" s="74"/>
    </row>
    <row r="1255" spans="6:6" x14ac:dyDescent="0.35">
      <c r="F1255" s="74"/>
    </row>
    <row r="1256" spans="6:6" x14ac:dyDescent="0.35">
      <c r="F1256" s="74"/>
    </row>
    <row r="1257" spans="6:6" x14ac:dyDescent="0.35">
      <c r="F1257" s="74"/>
    </row>
    <row r="1258" spans="6:6" x14ac:dyDescent="0.35">
      <c r="F1258" s="74"/>
    </row>
    <row r="1259" spans="6:6" x14ac:dyDescent="0.35">
      <c r="F1259" s="74"/>
    </row>
    <row r="1260" spans="6:6" x14ac:dyDescent="0.35">
      <c r="F1260" s="74"/>
    </row>
    <row r="1261" spans="6:6" x14ac:dyDescent="0.35">
      <c r="F1261" s="74"/>
    </row>
    <row r="1262" spans="6:6" x14ac:dyDescent="0.35">
      <c r="F1262" s="74"/>
    </row>
    <row r="1263" spans="6:6" x14ac:dyDescent="0.35">
      <c r="F1263" s="74"/>
    </row>
  </sheetData>
  <autoFilter ref="B4:D1245" xr:uid="{686D5A33-6381-4EF7-BCF0-B3DA0F322395}">
    <sortState xmlns:xlrd2="http://schemas.microsoft.com/office/spreadsheetml/2017/richdata2" ref="B5:D1245">
      <sortCondition ref="B4:B1245"/>
    </sortState>
  </autoFilter>
  <mergeCells count="2">
    <mergeCell ref="B3:D3"/>
    <mergeCell ref="F3:H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7B74-8632-4636-950A-4BC5B96B9E21}">
  <sheetPr>
    <tabColor rgb="FFFFFF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2B57-1E74-4996-A38B-81BE144BC3EB}">
  <dimension ref="A1:K93"/>
  <sheetViews>
    <sheetView workbookViewId="0">
      <selection activeCell="C7" sqref="C7"/>
    </sheetView>
  </sheetViews>
  <sheetFormatPr defaultColWidth="8.81640625" defaultRowHeight="14.5" x14ac:dyDescent="0.35"/>
  <cols>
    <col min="1" max="1" width="27.6328125" style="2" bestFit="1" customWidth="1"/>
    <col min="2" max="11" width="13.453125" style="2" bestFit="1" customWidth="1"/>
    <col min="12" max="16384" width="8.81640625" style="2"/>
  </cols>
  <sheetData>
    <row r="1" spans="1:11" s="1" customFormat="1" x14ac:dyDescent="0.35">
      <c r="A1" s="1" t="s">
        <v>0</v>
      </c>
      <c r="B1" s="1" t="s">
        <v>1</v>
      </c>
      <c r="E1" s="110" t="str">
        <f>IF(B2&lt;&gt;B3, "A NEW VERSION OF THE WORKSHEET IS AVAILABLE", "")</f>
        <v/>
      </c>
      <c r="F1" s="110"/>
      <c r="G1" s="110"/>
      <c r="H1" s="110"/>
      <c r="I1" s="110"/>
      <c r="J1" s="110"/>
      <c r="K1" s="110"/>
    </row>
    <row r="2" spans="1:11" x14ac:dyDescent="0.35">
      <c r="A2" s="1" t="s">
        <v>2</v>
      </c>
      <c r="B2" s="2">
        <v>2.1</v>
      </c>
      <c r="E2" s="111" t="s">
        <v>3</v>
      </c>
      <c r="F2" s="111"/>
      <c r="G2" s="111"/>
      <c r="H2" s="111"/>
      <c r="I2" s="111"/>
      <c r="J2" s="111"/>
      <c r="K2" s="111"/>
    </row>
    <row r="3" spans="1:11" x14ac:dyDescent="0.35">
      <c r="A3" s="1" t="s">
        <v>4</v>
      </c>
      <c r="B3" s="2">
        <v>2.1</v>
      </c>
    </row>
    <row r="4" spans="1:11" x14ac:dyDescent="0.35">
      <c r="A4" s="1"/>
    </row>
    <row r="5" spans="1:11" x14ac:dyDescent="0.35">
      <c r="A5" s="1" t="s">
        <v>5</v>
      </c>
    </row>
    <row r="6" spans="1:11" x14ac:dyDescent="0.35">
      <c r="A6" s="2" t="s">
        <v>6</v>
      </c>
      <c r="B6" s="2">
        <f>IF(B9&gt;0, B9/B8, 0)</f>
        <v>405.80565559440561</v>
      </c>
    </row>
    <row r="7" spans="1:11" x14ac:dyDescent="0.35">
      <c r="A7" s="2" t="s">
        <v>7</v>
      </c>
      <c r="B7">
        <v>5</v>
      </c>
    </row>
    <row r="8" spans="1:11" x14ac:dyDescent="0.35">
      <c r="A8" s="2" t="s">
        <v>8</v>
      </c>
      <c r="B8">
        <v>1144</v>
      </c>
    </row>
    <row r="9" spans="1:11" x14ac:dyDescent="0.35">
      <c r="A9" s="2" t="s">
        <v>9</v>
      </c>
      <c r="B9">
        <v>464241.67</v>
      </c>
    </row>
    <row r="15" spans="1:11" x14ac:dyDescent="0.35">
      <c r="A15" s="1" t="s">
        <v>10</v>
      </c>
    </row>
    <row r="16" spans="1:11" s="5" customFormat="1" x14ac:dyDescent="0.35">
      <c r="A16" s="3" t="s">
        <v>11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6" customFormat="1" x14ac:dyDescent="0.35">
      <c r="A17" s="6" t="s">
        <v>12</v>
      </c>
      <c r="B17">
        <v>59289</v>
      </c>
      <c r="C17">
        <v>61941</v>
      </c>
      <c r="D17">
        <v>73107</v>
      </c>
      <c r="E17">
        <v>79047</v>
      </c>
      <c r="F17">
        <v>85912</v>
      </c>
      <c r="G17">
        <v>103940</v>
      </c>
      <c r="H17">
        <v>124014</v>
      </c>
      <c r="I17">
        <v>128933</v>
      </c>
      <c r="J17">
        <v>136592</v>
      </c>
      <c r="K17">
        <v>148819</v>
      </c>
    </row>
    <row r="18" spans="1:11" s="6" customFormat="1" x14ac:dyDescent="0.35">
      <c r="A18" s="2" t="s">
        <v>13</v>
      </c>
    </row>
    <row r="19" spans="1:11" s="6" customFormat="1" x14ac:dyDescent="0.35">
      <c r="A19" s="2" t="s">
        <v>14</v>
      </c>
    </row>
    <row r="20" spans="1:11" s="6" customFormat="1" x14ac:dyDescent="0.35">
      <c r="A20" s="2" t="s">
        <v>15</v>
      </c>
      <c r="B20">
        <v>180</v>
      </c>
      <c r="C20">
        <v>162</v>
      </c>
      <c r="D20">
        <v>171</v>
      </c>
      <c r="E20">
        <v>176</v>
      </c>
      <c r="F20">
        <v>99</v>
      </c>
      <c r="G20">
        <v>93</v>
      </c>
      <c r="H20">
        <v>155</v>
      </c>
      <c r="I20">
        <v>172</v>
      </c>
      <c r="J20">
        <v>196</v>
      </c>
      <c r="K20">
        <v>196</v>
      </c>
    </row>
    <row r="21" spans="1:11" s="6" customFormat="1" x14ac:dyDescent="0.35">
      <c r="A21" s="2" t="s">
        <v>16</v>
      </c>
      <c r="B21">
        <v>7148</v>
      </c>
      <c r="C21">
        <v>7688</v>
      </c>
      <c r="D21">
        <v>10376</v>
      </c>
      <c r="E21">
        <v>11370</v>
      </c>
      <c r="F21">
        <v>12682</v>
      </c>
      <c r="G21">
        <v>20148</v>
      </c>
      <c r="H21">
        <v>25277</v>
      </c>
      <c r="I21">
        <v>26505</v>
      </c>
      <c r="J21">
        <v>29967</v>
      </c>
      <c r="K21">
        <v>32832</v>
      </c>
    </row>
    <row r="22" spans="1:11" s="6" customFormat="1" x14ac:dyDescent="0.35">
      <c r="A22" s="2" t="s">
        <v>17</v>
      </c>
      <c r="B22">
        <v>30953</v>
      </c>
      <c r="C22">
        <v>32481</v>
      </c>
      <c r="D22">
        <v>38303</v>
      </c>
      <c r="E22">
        <v>42442</v>
      </c>
      <c r="F22">
        <v>45185</v>
      </c>
      <c r="G22">
        <v>51675</v>
      </c>
      <c r="H22">
        <v>62779</v>
      </c>
      <c r="I22">
        <v>65155</v>
      </c>
      <c r="J22">
        <v>67484</v>
      </c>
      <c r="K22">
        <v>73257</v>
      </c>
    </row>
    <row r="23" spans="1:11" s="6" customFormat="1" x14ac:dyDescent="0.35">
      <c r="A23" s="2" t="s">
        <v>18</v>
      </c>
      <c r="B23">
        <v>3273</v>
      </c>
      <c r="C23">
        <v>3377</v>
      </c>
      <c r="D23">
        <v>4256</v>
      </c>
      <c r="E23">
        <v>4353</v>
      </c>
      <c r="F23">
        <v>2541</v>
      </c>
      <c r="G23">
        <v>3464</v>
      </c>
      <c r="H23">
        <v>4085</v>
      </c>
      <c r="I23">
        <v>4199</v>
      </c>
      <c r="J23">
        <v>4734</v>
      </c>
      <c r="K23">
        <v>5515</v>
      </c>
    </row>
    <row r="24" spans="1:11" s="6" customFormat="1" x14ac:dyDescent="0.35">
      <c r="A24" s="2" t="s">
        <v>19</v>
      </c>
      <c r="B24">
        <v>528</v>
      </c>
      <c r="C24">
        <v>936</v>
      </c>
      <c r="D24">
        <v>1327</v>
      </c>
      <c r="E24">
        <v>671</v>
      </c>
      <c r="F24">
        <v>948</v>
      </c>
      <c r="G24">
        <v>732</v>
      </c>
      <c r="H24">
        <v>1024</v>
      </c>
      <c r="I24">
        <v>1145</v>
      </c>
      <c r="J24">
        <v>712</v>
      </c>
      <c r="K24">
        <v>1006</v>
      </c>
    </row>
    <row r="25" spans="1:11" s="6" customFormat="1" x14ac:dyDescent="0.35">
      <c r="A25" s="6" t="s">
        <v>20</v>
      </c>
      <c r="B25">
        <v>3062</v>
      </c>
      <c r="C25">
        <v>4019</v>
      </c>
      <c r="D25">
        <v>2852</v>
      </c>
      <c r="E25">
        <v>2700</v>
      </c>
      <c r="F25">
        <v>2467</v>
      </c>
      <c r="G25">
        <v>3224</v>
      </c>
      <c r="H25">
        <v>3859</v>
      </c>
      <c r="I25">
        <v>7417</v>
      </c>
      <c r="J25">
        <v>4782</v>
      </c>
      <c r="K25">
        <v>5345</v>
      </c>
    </row>
    <row r="26" spans="1:11" s="6" customFormat="1" x14ac:dyDescent="0.35">
      <c r="A26" s="6" t="s">
        <v>21</v>
      </c>
      <c r="B26">
        <v>1331</v>
      </c>
      <c r="C26">
        <v>1408</v>
      </c>
      <c r="D26">
        <v>1599</v>
      </c>
      <c r="E26">
        <v>2144</v>
      </c>
      <c r="F26">
        <v>2321</v>
      </c>
      <c r="G26">
        <v>2429</v>
      </c>
      <c r="H26">
        <v>2753</v>
      </c>
      <c r="I26">
        <v>2944</v>
      </c>
      <c r="J26">
        <v>2619</v>
      </c>
      <c r="K26">
        <v>2394</v>
      </c>
    </row>
    <row r="27" spans="1:11" s="6" customFormat="1" x14ac:dyDescent="0.35">
      <c r="A27" s="6" t="s">
        <v>22</v>
      </c>
      <c r="E27">
        <v>114</v>
      </c>
      <c r="F27">
        <v>126</v>
      </c>
      <c r="G27">
        <v>128</v>
      </c>
      <c r="H27">
        <v>157</v>
      </c>
      <c r="I27">
        <v>277</v>
      </c>
      <c r="J27">
        <v>221</v>
      </c>
      <c r="K27">
        <v>207</v>
      </c>
    </row>
    <row r="28" spans="1:11" s="6" customFormat="1" x14ac:dyDescent="0.35">
      <c r="A28" s="6" t="s">
        <v>23</v>
      </c>
      <c r="B28">
        <v>18938</v>
      </c>
      <c r="C28">
        <v>19908</v>
      </c>
      <c r="D28">
        <v>19927</v>
      </c>
      <c r="E28">
        <v>20477</v>
      </c>
      <c r="F28">
        <v>24477</v>
      </c>
      <c r="G28">
        <v>28495</v>
      </c>
      <c r="H28">
        <v>31643</v>
      </c>
      <c r="I28">
        <v>35953</v>
      </c>
      <c r="J28">
        <v>35441</v>
      </c>
      <c r="K28">
        <v>38757</v>
      </c>
    </row>
    <row r="29" spans="1:11" s="6" customFormat="1" x14ac:dyDescent="0.35">
      <c r="A29" s="6" t="s">
        <v>24</v>
      </c>
      <c r="B29">
        <v>5120</v>
      </c>
      <c r="C29">
        <v>3753</v>
      </c>
      <c r="D29">
        <v>5225</v>
      </c>
      <c r="E29">
        <v>4934</v>
      </c>
      <c r="F29">
        <v>6429</v>
      </c>
      <c r="G29">
        <v>7260</v>
      </c>
      <c r="H29">
        <v>8375</v>
      </c>
      <c r="I29">
        <v>8719</v>
      </c>
      <c r="J29">
        <v>9873</v>
      </c>
      <c r="K29">
        <v>9546</v>
      </c>
    </row>
    <row r="30" spans="1:11" s="6" customFormat="1" x14ac:dyDescent="0.35">
      <c r="A30" s="6" t="s">
        <v>25</v>
      </c>
      <c r="B30">
        <v>13818</v>
      </c>
      <c r="C30">
        <v>16155</v>
      </c>
      <c r="D30">
        <v>14702</v>
      </c>
      <c r="E30">
        <v>15543</v>
      </c>
      <c r="F30">
        <v>18048</v>
      </c>
      <c r="G30">
        <v>21235</v>
      </c>
      <c r="H30">
        <v>23268</v>
      </c>
      <c r="I30">
        <v>27234</v>
      </c>
      <c r="J30">
        <v>25568</v>
      </c>
      <c r="K30">
        <v>29211</v>
      </c>
    </row>
    <row r="31" spans="1:11" s="6" customFormat="1" x14ac:dyDescent="0.35">
      <c r="A31" s="6" t="s">
        <v>26</v>
      </c>
      <c r="B31">
        <v>5912.2</v>
      </c>
      <c r="C31">
        <v>9500.4</v>
      </c>
      <c r="D31">
        <v>9365.4</v>
      </c>
      <c r="E31">
        <v>7451.5</v>
      </c>
      <c r="F31">
        <v>11502</v>
      </c>
      <c r="G31">
        <v>13038.6</v>
      </c>
      <c r="H31">
        <v>14103.2</v>
      </c>
      <c r="I31">
        <v>19090</v>
      </c>
      <c r="J31">
        <v>17853.599999999999</v>
      </c>
      <c r="K31">
        <v>19459.2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27</v>
      </c>
    </row>
    <row r="41" spans="1:11" s="5" customFormat="1" x14ac:dyDescent="0.35">
      <c r="A41" s="3" t="s">
        <v>11</v>
      </c>
      <c r="B41" s="4">
        <v>45382</v>
      </c>
      <c r="C41" s="4">
        <v>45473</v>
      </c>
      <c r="D41" s="4">
        <v>45565</v>
      </c>
      <c r="E41" s="4">
        <v>45657</v>
      </c>
      <c r="F41" s="4">
        <v>45747</v>
      </c>
      <c r="G41" s="4">
        <v>45838</v>
      </c>
      <c r="H41" s="4">
        <v>45930</v>
      </c>
      <c r="I41" s="4">
        <v>46022</v>
      </c>
      <c r="J41" s="4">
        <v>46112</v>
      </c>
      <c r="K41" s="4">
        <v>46203</v>
      </c>
    </row>
    <row r="42" spans="1:11" s="6" customFormat="1" x14ac:dyDescent="0.35">
      <c r="A42" s="6" t="s">
        <v>12</v>
      </c>
      <c r="B42">
        <v>32001</v>
      </c>
      <c r="C42">
        <v>33283</v>
      </c>
      <c r="D42">
        <v>34257</v>
      </c>
      <c r="E42">
        <v>34915</v>
      </c>
      <c r="F42">
        <v>34136</v>
      </c>
      <c r="G42">
        <v>35275</v>
      </c>
      <c r="H42">
        <v>36907</v>
      </c>
      <c r="I42">
        <v>37996</v>
      </c>
      <c r="J42">
        <v>38641</v>
      </c>
      <c r="K42">
        <v>39957</v>
      </c>
    </row>
    <row r="43" spans="1:11" s="6" customFormat="1" x14ac:dyDescent="0.35">
      <c r="A43" s="6" t="s">
        <v>28</v>
      </c>
      <c r="B43">
        <v>24286</v>
      </c>
      <c r="C43">
        <v>25119</v>
      </c>
      <c r="D43">
        <v>25856</v>
      </c>
      <c r="E43">
        <v>26361</v>
      </c>
      <c r="F43">
        <v>25757</v>
      </c>
      <c r="G43">
        <v>26829</v>
      </c>
      <c r="H43">
        <v>28059</v>
      </c>
      <c r="I43">
        <v>28826</v>
      </c>
      <c r="J43">
        <v>29093</v>
      </c>
      <c r="K43">
        <v>29996</v>
      </c>
    </row>
    <row r="44" spans="1:11" s="6" customFormat="1" x14ac:dyDescent="0.35">
      <c r="A44" s="6" t="s">
        <v>20</v>
      </c>
      <c r="B44">
        <v>3483</v>
      </c>
      <c r="C44">
        <v>721</v>
      </c>
      <c r="D44">
        <v>1737</v>
      </c>
      <c r="E44">
        <v>1001</v>
      </c>
      <c r="F44">
        <v>1323</v>
      </c>
      <c r="G44">
        <v>882</v>
      </c>
      <c r="H44">
        <v>2268</v>
      </c>
      <c r="I44">
        <v>1131</v>
      </c>
      <c r="J44">
        <v>1063</v>
      </c>
      <c r="K44">
        <v>874</v>
      </c>
    </row>
    <row r="45" spans="1:11" s="6" customFormat="1" x14ac:dyDescent="0.35">
      <c r="A45" s="6" t="s">
        <v>21</v>
      </c>
      <c r="B45">
        <v>722</v>
      </c>
      <c r="C45">
        <v>698</v>
      </c>
      <c r="D45">
        <v>670</v>
      </c>
      <c r="E45">
        <v>661</v>
      </c>
      <c r="F45">
        <v>590</v>
      </c>
      <c r="G45">
        <v>613</v>
      </c>
      <c r="H45">
        <v>595</v>
      </c>
      <c r="I45">
        <v>585</v>
      </c>
      <c r="J45">
        <v>601</v>
      </c>
      <c r="K45">
        <v>613</v>
      </c>
    </row>
    <row r="46" spans="1:11" s="6" customFormat="1" x14ac:dyDescent="0.35">
      <c r="A46" s="6" t="s">
        <v>22</v>
      </c>
      <c r="B46">
        <v>62</v>
      </c>
      <c r="C46">
        <v>59</v>
      </c>
      <c r="D46">
        <v>61</v>
      </c>
      <c r="E46">
        <v>50</v>
      </c>
      <c r="F46">
        <v>51</v>
      </c>
      <c r="G46">
        <v>55</v>
      </c>
      <c r="H46">
        <v>52</v>
      </c>
      <c r="I46">
        <v>45</v>
      </c>
      <c r="J46">
        <v>54</v>
      </c>
      <c r="K46">
        <v>61</v>
      </c>
    </row>
    <row r="47" spans="1:11" s="6" customFormat="1" x14ac:dyDescent="0.35">
      <c r="A47" s="6" t="s">
        <v>23</v>
      </c>
      <c r="B47">
        <v>10414</v>
      </c>
      <c r="C47">
        <v>8128</v>
      </c>
      <c r="D47">
        <v>9407</v>
      </c>
      <c r="E47">
        <v>8844</v>
      </c>
      <c r="F47">
        <v>9061</v>
      </c>
      <c r="G47">
        <v>8660</v>
      </c>
      <c r="H47">
        <v>10469</v>
      </c>
      <c r="I47">
        <v>9671</v>
      </c>
      <c r="J47">
        <v>9956</v>
      </c>
      <c r="K47">
        <v>10161</v>
      </c>
    </row>
    <row r="48" spans="1:11" s="6" customFormat="1" x14ac:dyDescent="0.35">
      <c r="A48" s="6" t="s">
        <v>24</v>
      </c>
      <c r="B48">
        <v>1934</v>
      </c>
      <c r="C48">
        <v>2360</v>
      </c>
      <c r="D48">
        <v>2594</v>
      </c>
      <c r="E48">
        <v>2486</v>
      </c>
      <c r="F48">
        <v>2433</v>
      </c>
      <c r="G48">
        <v>2546</v>
      </c>
      <c r="H48">
        <v>2710</v>
      </c>
      <c r="I48">
        <v>2308</v>
      </c>
      <c r="J48">
        <v>1981</v>
      </c>
      <c r="K48">
        <v>2912</v>
      </c>
    </row>
    <row r="49" spans="1:11" s="6" customFormat="1" x14ac:dyDescent="0.35">
      <c r="A49" s="6" t="s">
        <v>25</v>
      </c>
      <c r="B49">
        <v>8480</v>
      </c>
      <c r="C49">
        <v>5768</v>
      </c>
      <c r="D49">
        <v>6813</v>
      </c>
      <c r="E49">
        <v>6358</v>
      </c>
      <c r="F49">
        <v>6628</v>
      </c>
      <c r="G49">
        <v>6114</v>
      </c>
      <c r="H49">
        <v>7759</v>
      </c>
      <c r="I49">
        <v>7363</v>
      </c>
      <c r="J49">
        <v>7975</v>
      </c>
      <c r="K49">
        <v>7249</v>
      </c>
    </row>
    <row r="50" spans="1:11" x14ac:dyDescent="0.35">
      <c r="A50" s="6" t="s">
        <v>29</v>
      </c>
      <c r="B50">
        <v>7715</v>
      </c>
      <c r="C50">
        <v>8164</v>
      </c>
      <c r="D50">
        <v>8401</v>
      </c>
      <c r="E50">
        <v>8554</v>
      </c>
      <c r="F50">
        <v>8379</v>
      </c>
      <c r="G50">
        <v>8446</v>
      </c>
      <c r="H50">
        <v>8848</v>
      </c>
      <c r="I50">
        <v>9170</v>
      </c>
      <c r="J50">
        <v>9548</v>
      </c>
      <c r="K50">
        <v>9961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30</v>
      </c>
    </row>
    <row r="56" spans="1:11" s="5" customFormat="1" x14ac:dyDescent="0.35">
      <c r="A56" s="3" t="s">
        <v>11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35">
      <c r="A57" s="6" t="s">
        <v>31</v>
      </c>
      <c r="B57">
        <v>1148</v>
      </c>
      <c r="C57">
        <v>1092</v>
      </c>
      <c r="D57">
        <v>2178</v>
      </c>
      <c r="E57">
        <v>2129</v>
      </c>
      <c r="F57">
        <v>2130</v>
      </c>
      <c r="G57">
        <v>2103</v>
      </c>
      <c r="H57">
        <v>2074</v>
      </c>
      <c r="I57">
        <v>2075</v>
      </c>
      <c r="J57">
        <v>2076</v>
      </c>
      <c r="K57">
        <v>2027</v>
      </c>
    </row>
    <row r="58" spans="1:11" x14ac:dyDescent="0.35">
      <c r="A58" s="6" t="s">
        <v>32</v>
      </c>
      <c r="B58">
        <v>66869</v>
      </c>
      <c r="C58">
        <v>62410</v>
      </c>
      <c r="D58">
        <v>60533</v>
      </c>
      <c r="E58">
        <v>60105</v>
      </c>
      <c r="F58">
        <v>69401</v>
      </c>
      <c r="G58">
        <v>67203</v>
      </c>
      <c r="H58">
        <v>65671</v>
      </c>
      <c r="I58">
        <v>79101</v>
      </c>
      <c r="J58">
        <v>85256</v>
      </c>
      <c r="K58">
        <v>78847</v>
      </c>
    </row>
    <row r="59" spans="1:11" x14ac:dyDescent="0.35">
      <c r="A59" s="6" t="s">
        <v>33</v>
      </c>
      <c r="E59">
        <v>3165</v>
      </c>
      <c r="F59">
        <v>3854</v>
      </c>
      <c r="G59">
        <v>3786</v>
      </c>
      <c r="H59">
        <v>4266</v>
      </c>
      <c r="I59">
        <v>3766</v>
      </c>
      <c r="J59">
        <v>3459</v>
      </c>
      <c r="K59">
        <v>3749</v>
      </c>
    </row>
    <row r="60" spans="1:11" x14ac:dyDescent="0.35">
      <c r="A60" s="6" t="s">
        <v>34</v>
      </c>
      <c r="B60">
        <v>11868</v>
      </c>
      <c r="C60">
        <v>11870</v>
      </c>
      <c r="D60">
        <v>15678</v>
      </c>
      <c r="E60">
        <v>15086</v>
      </c>
      <c r="F60">
        <v>18043</v>
      </c>
      <c r="G60">
        <v>25454</v>
      </c>
      <c r="H60">
        <v>28547</v>
      </c>
      <c r="I60">
        <v>30008</v>
      </c>
      <c r="J60">
        <v>33648</v>
      </c>
      <c r="K60">
        <v>41078</v>
      </c>
    </row>
    <row r="61" spans="1:11" s="1" customFormat="1" x14ac:dyDescent="0.35">
      <c r="A61" s="1" t="s">
        <v>35</v>
      </c>
      <c r="B61">
        <v>79885</v>
      </c>
      <c r="C61">
        <v>75372</v>
      </c>
      <c r="D61">
        <v>78389</v>
      </c>
      <c r="E61">
        <v>80485</v>
      </c>
      <c r="F61">
        <v>93428</v>
      </c>
      <c r="G61">
        <v>98546</v>
      </c>
      <c r="H61">
        <v>100558</v>
      </c>
      <c r="I61">
        <v>114950</v>
      </c>
      <c r="J61">
        <v>124439</v>
      </c>
      <c r="K61">
        <v>125701</v>
      </c>
    </row>
    <row r="62" spans="1:11" x14ac:dyDescent="0.35">
      <c r="A62" s="6" t="s">
        <v>36</v>
      </c>
      <c r="B62">
        <v>8605</v>
      </c>
      <c r="C62">
        <v>9157</v>
      </c>
      <c r="D62">
        <v>10497</v>
      </c>
      <c r="E62">
        <v>13974</v>
      </c>
      <c r="F62">
        <v>14599</v>
      </c>
      <c r="G62">
        <v>14938</v>
      </c>
      <c r="H62">
        <v>15431</v>
      </c>
      <c r="I62">
        <v>14327</v>
      </c>
      <c r="J62">
        <v>13359</v>
      </c>
      <c r="K62">
        <v>13836</v>
      </c>
    </row>
    <row r="63" spans="1:11" x14ac:dyDescent="0.35">
      <c r="A63" s="6" t="s">
        <v>37</v>
      </c>
      <c r="B63">
        <v>1247</v>
      </c>
      <c r="C63">
        <v>1442</v>
      </c>
      <c r="D63">
        <v>1212</v>
      </c>
      <c r="E63">
        <v>945</v>
      </c>
      <c r="F63">
        <v>906</v>
      </c>
      <c r="G63">
        <v>411</v>
      </c>
      <c r="H63">
        <v>275</v>
      </c>
      <c r="I63">
        <v>277</v>
      </c>
      <c r="J63">
        <v>778</v>
      </c>
      <c r="K63">
        <v>512</v>
      </c>
    </row>
    <row r="64" spans="1:11" x14ac:dyDescent="0.35">
      <c r="A64" s="6" t="s">
        <v>38</v>
      </c>
      <c r="B64">
        <v>24977</v>
      </c>
      <c r="C64">
        <v>17899</v>
      </c>
      <c r="D64">
        <v>18139</v>
      </c>
      <c r="E64">
        <v>17922</v>
      </c>
      <c r="F64">
        <v>24155</v>
      </c>
      <c r="G64">
        <v>28336</v>
      </c>
      <c r="H64">
        <v>28162</v>
      </c>
      <c r="I64">
        <v>34659</v>
      </c>
      <c r="J64">
        <v>38518</v>
      </c>
      <c r="K64">
        <v>38075</v>
      </c>
    </row>
    <row r="65" spans="1:11" x14ac:dyDescent="0.35">
      <c r="A65" s="6" t="s">
        <v>39</v>
      </c>
      <c r="B65">
        <v>45056</v>
      </c>
      <c r="C65">
        <v>46874</v>
      </c>
      <c r="D65">
        <v>48541</v>
      </c>
      <c r="E65">
        <v>47644</v>
      </c>
      <c r="F65">
        <v>53768</v>
      </c>
      <c r="G65">
        <v>54861</v>
      </c>
      <c r="H65">
        <v>56690</v>
      </c>
      <c r="I65">
        <v>65687</v>
      </c>
      <c r="J65">
        <v>71784</v>
      </c>
      <c r="K65">
        <v>73278</v>
      </c>
    </row>
    <row r="66" spans="1:11" s="1" customFormat="1" x14ac:dyDescent="0.35">
      <c r="A66" s="1" t="s">
        <v>35</v>
      </c>
      <c r="B66">
        <v>79885</v>
      </c>
      <c r="C66">
        <v>75372</v>
      </c>
      <c r="D66">
        <v>78389</v>
      </c>
      <c r="E66">
        <v>80485</v>
      </c>
      <c r="F66">
        <v>93428</v>
      </c>
      <c r="G66">
        <v>98546</v>
      </c>
      <c r="H66">
        <v>100558</v>
      </c>
      <c r="I66">
        <v>114950</v>
      </c>
      <c r="J66">
        <v>124439</v>
      </c>
      <c r="K66">
        <v>125701</v>
      </c>
    </row>
    <row r="67" spans="1:11" s="6" customFormat="1" x14ac:dyDescent="0.35">
      <c r="A67" s="6" t="s">
        <v>40</v>
      </c>
      <c r="B67">
        <v>10960</v>
      </c>
      <c r="C67">
        <v>12151</v>
      </c>
      <c r="D67">
        <v>13370</v>
      </c>
      <c r="E67">
        <v>15459</v>
      </c>
      <c r="F67">
        <v>16394</v>
      </c>
      <c r="G67">
        <v>18966</v>
      </c>
      <c r="H67">
        <v>20773</v>
      </c>
      <c r="I67">
        <v>25152</v>
      </c>
      <c r="J67">
        <v>26413</v>
      </c>
      <c r="K67">
        <v>30337</v>
      </c>
    </row>
    <row r="68" spans="1:11" x14ac:dyDescent="0.35">
      <c r="A68" s="6" t="s">
        <v>41</v>
      </c>
    </row>
    <row r="69" spans="1:11" x14ac:dyDescent="0.35">
      <c r="A69" s="2" t="s">
        <v>42</v>
      </c>
      <c r="B69">
        <v>19153</v>
      </c>
      <c r="C69">
        <v>16770</v>
      </c>
      <c r="D69">
        <v>15551</v>
      </c>
      <c r="E69">
        <v>13562</v>
      </c>
      <c r="F69">
        <v>17612</v>
      </c>
      <c r="G69">
        <v>12270</v>
      </c>
      <c r="H69">
        <v>6534</v>
      </c>
      <c r="I69">
        <v>8191</v>
      </c>
      <c r="J69">
        <v>14265</v>
      </c>
      <c r="K69">
        <v>8727</v>
      </c>
    </row>
    <row r="70" spans="1:11" x14ac:dyDescent="0.35">
      <c r="A70" s="2" t="s">
        <v>43</v>
      </c>
      <c r="B70">
        <v>2296944664</v>
      </c>
      <c r="C70">
        <v>2184114257</v>
      </c>
      <c r="D70">
        <v>4356279444</v>
      </c>
      <c r="E70">
        <v>4258992566</v>
      </c>
      <c r="F70">
        <v>4260660846</v>
      </c>
      <c r="G70">
        <v>4206738641</v>
      </c>
      <c r="H70">
        <v>4148560044</v>
      </c>
      <c r="I70">
        <v>4150867464</v>
      </c>
      <c r="J70">
        <v>4153263455</v>
      </c>
      <c r="K70">
        <v>4055591723</v>
      </c>
    </row>
    <row r="71" spans="1:11" x14ac:dyDescent="0.35">
      <c r="A71" s="2" t="s">
        <v>44</v>
      </c>
      <c r="D71">
        <v>2184191490</v>
      </c>
    </row>
    <row r="72" spans="1:11" x14ac:dyDescent="0.35">
      <c r="A72" s="2" t="s">
        <v>45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46</v>
      </c>
    </row>
    <row r="81" spans="1:11" s="5" customFormat="1" x14ac:dyDescent="0.35">
      <c r="A81" s="3" t="s">
        <v>11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1" customFormat="1" x14ac:dyDescent="0.35">
      <c r="A82" s="6" t="s">
        <v>47</v>
      </c>
      <c r="B82">
        <v>10478</v>
      </c>
      <c r="C82">
        <v>12475</v>
      </c>
      <c r="D82">
        <v>13989</v>
      </c>
      <c r="E82">
        <v>15572</v>
      </c>
      <c r="F82">
        <v>19902</v>
      </c>
      <c r="G82">
        <v>22096</v>
      </c>
      <c r="H82">
        <v>19169</v>
      </c>
      <c r="I82">
        <v>20787</v>
      </c>
      <c r="J82">
        <v>29409</v>
      </c>
      <c r="K82">
        <v>28164</v>
      </c>
    </row>
    <row r="83" spans="1:11" s="6" customFormat="1" x14ac:dyDescent="0.35">
      <c r="A83" s="6" t="s">
        <v>48</v>
      </c>
      <c r="B83">
        <v>-13533</v>
      </c>
      <c r="C83">
        <v>5678</v>
      </c>
      <c r="D83">
        <v>-637</v>
      </c>
      <c r="E83">
        <v>-170</v>
      </c>
      <c r="F83">
        <v>-6286</v>
      </c>
      <c r="G83">
        <v>-3163</v>
      </c>
      <c r="H83">
        <v>952</v>
      </c>
      <c r="I83">
        <v>-3305</v>
      </c>
      <c r="J83">
        <v>-1956</v>
      </c>
      <c r="K83">
        <v>4085</v>
      </c>
    </row>
    <row r="84" spans="1:11" s="6" customFormat="1" x14ac:dyDescent="0.35">
      <c r="A84" s="6" t="s">
        <v>49</v>
      </c>
      <c r="B84">
        <v>-6968</v>
      </c>
      <c r="C84">
        <v>-20536</v>
      </c>
      <c r="D84">
        <v>-14571</v>
      </c>
      <c r="E84">
        <v>-17391</v>
      </c>
      <c r="F84">
        <v>-9566</v>
      </c>
      <c r="G84">
        <v>-24275</v>
      </c>
      <c r="H84">
        <v>-25857</v>
      </c>
      <c r="I84">
        <v>-15825</v>
      </c>
      <c r="J84">
        <v>-21379</v>
      </c>
      <c r="K84">
        <v>-37787</v>
      </c>
    </row>
    <row r="85" spans="1:11" s="1" customFormat="1" x14ac:dyDescent="0.35">
      <c r="A85" s="6" t="s">
        <v>50</v>
      </c>
      <c r="B85">
        <v>-10023</v>
      </c>
      <c r="C85">
        <v>-2383</v>
      </c>
      <c r="D85">
        <v>-1219</v>
      </c>
      <c r="E85">
        <v>-1989</v>
      </c>
      <c r="F85">
        <v>4050</v>
      </c>
      <c r="G85">
        <v>-5342</v>
      </c>
      <c r="H85">
        <v>-5736</v>
      </c>
      <c r="I85">
        <v>1657</v>
      </c>
      <c r="J85">
        <v>6074</v>
      </c>
      <c r="K85">
        <v>-5538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51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1250.5999999999999</v>
      </c>
    </row>
    <row r="92" spans="1:11" s="1" customFormat="1" x14ac:dyDescent="0.35">
      <c r="A92" s="1" t="s">
        <v>52</v>
      </c>
    </row>
    <row r="93" spans="1:11" x14ac:dyDescent="0.35">
      <c r="A93" s="2" t="s">
        <v>53</v>
      </c>
      <c r="B93" s="7">
        <v>459.39</v>
      </c>
      <c r="C93" s="7">
        <v>436.82</v>
      </c>
      <c r="D93" s="7">
        <v>436.89</v>
      </c>
      <c r="E93" s="7">
        <v>425.9</v>
      </c>
      <c r="F93" s="7">
        <v>426.07</v>
      </c>
      <c r="G93" s="7">
        <v>420.67</v>
      </c>
      <c r="H93" s="7">
        <v>414.86</v>
      </c>
      <c r="I93" s="7">
        <v>415.09</v>
      </c>
      <c r="J93" s="7">
        <v>415.33</v>
      </c>
      <c r="K93" s="7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888F7BA0-B820-4ECE-9E62-DD94F026F0D7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9D29-B7DA-426F-BCEF-82DEB5B899DA}">
  <dimension ref="B3:N19"/>
  <sheetViews>
    <sheetView topLeftCell="A10" workbookViewId="0">
      <selection activeCell="B19" sqref="B19"/>
    </sheetView>
  </sheetViews>
  <sheetFormatPr defaultRowHeight="14.5" x14ac:dyDescent="0.35"/>
  <cols>
    <col min="2" max="2" width="15.26953125" bestFit="1" customWidth="1"/>
    <col min="3" max="10" width="6.36328125" bestFit="1" customWidth="1"/>
    <col min="11" max="14" width="7.90625" bestFit="1" customWidth="1"/>
  </cols>
  <sheetData>
    <row r="3" spans="2:14" x14ac:dyDescent="0.35">
      <c r="C3" s="9">
        <v>42064</v>
      </c>
      <c r="D3" s="9">
        <v>42430</v>
      </c>
      <c r="E3" s="9">
        <v>42795</v>
      </c>
      <c r="F3" s="9">
        <v>43160</v>
      </c>
      <c r="G3" s="9">
        <v>43525</v>
      </c>
      <c r="H3" s="9">
        <v>43891</v>
      </c>
      <c r="I3" s="9">
        <v>44256</v>
      </c>
      <c r="J3" s="9">
        <v>44621</v>
      </c>
      <c r="K3" s="9">
        <v>44986</v>
      </c>
      <c r="L3" s="9">
        <v>45352</v>
      </c>
      <c r="M3" s="9">
        <v>45717</v>
      </c>
      <c r="N3" s="9">
        <v>46082</v>
      </c>
    </row>
    <row r="4" spans="2:14" x14ac:dyDescent="0.35">
      <c r="B4" t="s">
        <v>65</v>
      </c>
      <c r="C4">
        <v>574</v>
      </c>
      <c r="D4" s="8">
        <v>1148</v>
      </c>
      <c r="E4" s="8">
        <v>1148</v>
      </c>
      <c r="F4" s="8">
        <v>1092</v>
      </c>
      <c r="G4" s="8">
        <v>2178</v>
      </c>
      <c r="H4" s="8">
        <v>2129</v>
      </c>
      <c r="I4" s="8">
        <v>2130</v>
      </c>
      <c r="J4" s="8">
        <v>2103</v>
      </c>
      <c r="K4" s="8">
        <v>2074</v>
      </c>
      <c r="L4" s="8">
        <v>2075</v>
      </c>
      <c r="M4" s="8">
        <v>2076</v>
      </c>
      <c r="N4" s="8">
        <v>2027</v>
      </c>
    </row>
    <row r="5" spans="2:14" x14ac:dyDescent="0.35">
      <c r="B5" t="s">
        <v>32</v>
      </c>
      <c r="C5" s="8">
        <v>47494</v>
      </c>
      <c r="D5" s="8">
        <v>59934</v>
      </c>
      <c r="E5" s="8">
        <v>66869</v>
      </c>
      <c r="F5" s="8">
        <v>62410</v>
      </c>
      <c r="G5" s="8">
        <v>60533</v>
      </c>
      <c r="H5" s="8">
        <v>60105</v>
      </c>
      <c r="I5" s="8">
        <v>69401</v>
      </c>
      <c r="J5" s="8">
        <v>67203</v>
      </c>
      <c r="K5" s="8">
        <v>65671</v>
      </c>
      <c r="L5" s="8">
        <v>79101</v>
      </c>
      <c r="M5" s="8">
        <v>85256</v>
      </c>
      <c r="N5" s="8">
        <v>78847</v>
      </c>
    </row>
    <row r="6" spans="2:14" x14ac:dyDescent="0.35">
      <c r="B6" t="s">
        <v>66</v>
      </c>
      <c r="C6">
        <v>0</v>
      </c>
      <c r="D6">
        <v>0</v>
      </c>
      <c r="E6">
        <v>0</v>
      </c>
      <c r="F6">
        <v>0</v>
      </c>
      <c r="G6">
        <v>0</v>
      </c>
      <c r="H6" s="8">
        <v>3165</v>
      </c>
      <c r="I6" s="8">
        <v>3854</v>
      </c>
      <c r="J6" s="8">
        <v>3786</v>
      </c>
      <c r="K6" s="8">
        <v>4266</v>
      </c>
      <c r="L6" s="8">
        <v>3766</v>
      </c>
      <c r="M6" s="8">
        <v>3459</v>
      </c>
      <c r="N6" s="8">
        <v>3749</v>
      </c>
    </row>
    <row r="7" spans="2:14" x14ac:dyDescent="0.35">
      <c r="B7" t="s">
        <v>67</v>
      </c>
      <c r="C7" s="8">
        <v>13745</v>
      </c>
      <c r="D7" s="8">
        <v>11650</v>
      </c>
      <c r="E7" s="8">
        <v>11868</v>
      </c>
      <c r="F7" s="8">
        <v>11870</v>
      </c>
      <c r="G7" s="8">
        <v>15678</v>
      </c>
      <c r="H7" s="8">
        <v>15086</v>
      </c>
      <c r="I7" s="8">
        <v>18043</v>
      </c>
      <c r="J7" s="8">
        <v>25454</v>
      </c>
      <c r="K7" s="8">
        <v>28547</v>
      </c>
      <c r="L7" s="8">
        <v>30008</v>
      </c>
      <c r="M7" s="8">
        <v>33648</v>
      </c>
      <c r="N7" s="8">
        <v>41078</v>
      </c>
    </row>
    <row r="8" spans="2:14" x14ac:dyDescent="0.35">
      <c r="B8" t="s">
        <v>68</v>
      </c>
      <c r="C8" s="8">
        <v>61813</v>
      </c>
      <c r="D8" s="8">
        <v>72732</v>
      </c>
      <c r="E8" s="8">
        <v>79885</v>
      </c>
      <c r="F8" s="8">
        <v>75372</v>
      </c>
      <c r="G8" s="8">
        <v>78389</v>
      </c>
      <c r="H8" s="8">
        <v>80485</v>
      </c>
      <c r="I8" s="8">
        <v>93428</v>
      </c>
      <c r="J8" s="8">
        <v>98546</v>
      </c>
      <c r="K8" s="8">
        <v>100558</v>
      </c>
      <c r="L8" s="8">
        <v>114950</v>
      </c>
      <c r="M8" s="8">
        <v>124439</v>
      </c>
      <c r="N8" s="8">
        <v>125701</v>
      </c>
    </row>
    <row r="9" spans="2:14" x14ac:dyDescent="0.35">
      <c r="B9" t="s">
        <v>69</v>
      </c>
      <c r="C9" s="8">
        <v>7347</v>
      </c>
      <c r="D9" s="8">
        <v>8248</v>
      </c>
      <c r="E9" s="8">
        <v>8605</v>
      </c>
      <c r="F9" s="8">
        <v>9157</v>
      </c>
      <c r="G9" s="8">
        <v>10497</v>
      </c>
      <c r="H9" s="8">
        <v>13974</v>
      </c>
      <c r="I9" s="8">
        <v>14599</v>
      </c>
      <c r="J9" s="8">
        <v>14938</v>
      </c>
      <c r="K9" s="8">
        <v>15431</v>
      </c>
      <c r="L9" s="8">
        <v>14327</v>
      </c>
      <c r="M9" s="8">
        <v>13359</v>
      </c>
      <c r="N9" s="8">
        <v>13836</v>
      </c>
    </row>
    <row r="10" spans="2:14" x14ac:dyDescent="0.35">
      <c r="B10" t="s">
        <v>70</v>
      </c>
      <c r="C10">
        <v>769</v>
      </c>
      <c r="D10">
        <v>934</v>
      </c>
      <c r="E10" s="8">
        <v>1247</v>
      </c>
      <c r="F10" s="8">
        <v>1442</v>
      </c>
      <c r="G10" s="8">
        <v>1212</v>
      </c>
      <c r="H10">
        <v>945</v>
      </c>
      <c r="I10">
        <v>906</v>
      </c>
      <c r="J10">
        <v>411</v>
      </c>
      <c r="K10">
        <v>275</v>
      </c>
      <c r="L10">
        <v>277</v>
      </c>
      <c r="M10">
        <v>778</v>
      </c>
      <c r="N10">
        <v>512</v>
      </c>
    </row>
    <row r="11" spans="2:14" x14ac:dyDescent="0.35">
      <c r="B11" t="s">
        <v>38</v>
      </c>
      <c r="C11" s="8">
        <v>6857</v>
      </c>
      <c r="D11" s="8">
        <v>11078</v>
      </c>
      <c r="E11" s="8">
        <v>24977</v>
      </c>
      <c r="F11" s="8">
        <v>17899</v>
      </c>
      <c r="G11" s="8">
        <v>18139</v>
      </c>
      <c r="H11" s="8">
        <v>17922</v>
      </c>
      <c r="I11" s="8">
        <v>24155</v>
      </c>
      <c r="J11" s="8">
        <v>28336</v>
      </c>
      <c r="K11" s="8">
        <v>28162</v>
      </c>
      <c r="L11" s="8">
        <v>34659</v>
      </c>
      <c r="M11" s="8">
        <v>38518</v>
      </c>
      <c r="N11" s="8">
        <v>38075</v>
      </c>
    </row>
    <row r="12" spans="2:14" x14ac:dyDescent="0.35">
      <c r="B12" t="s">
        <v>71</v>
      </c>
      <c r="C12" s="8">
        <v>46840</v>
      </c>
      <c r="D12" s="8">
        <v>52472</v>
      </c>
      <c r="E12" s="8">
        <v>45056</v>
      </c>
      <c r="F12" s="8">
        <v>46874</v>
      </c>
      <c r="G12" s="8">
        <v>48541</v>
      </c>
      <c r="H12" s="8">
        <v>47644</v>
      </c>
      <c r="I12" s="8">
        <v>53768</v>
      </c>
      <c r="J12" s="8">
        <v>54861</v>
      </c>
      <c r="K12" s="8">
        <v>56690</v>
      </c>
      <c r="L12" s="8">
        <v>65687</v>
      </c>
      <c r="M12" s="8">
        <v>71784</v>
      </c>
      <c r="N12" s="8">
        <v>73278</v>
      </c>
    </row>
    <row r="13" spans="2:14" x14ac:dyDescent="0.35">
      <c r="B13" t="s">
        <v>72</v>
      </c>
      <c r="C13" s="8">
        <v>8627</v>
      </c>
      <c r="D13" s="8">
        <v>9798</v>
      </c>
      <c r="E13" s="8">
        <v>10960</v>
      </c>
      <c r="F13" s="8">
        <v>12151</v>
      </c>
      <c r="G13" s="8">
        <v>13370</v>
      </c>
      <c r="H13" s="8">
        <v>15459</v>
      </c>
      <c r="I13" s="8">
        <v>16394</v>
      </c>
      <c r="J13" s="8">
        <v>18966</v>
      </c>
      <c r="K13" s="8">
        <v>20773</v>
      </c>
      <c r="L13" s="8">
        <v>25152</v>
      </c>
      <c r="M13" s="8">
        <v>26413</v>
      </c>
      <c r="N13" s="8">
        <v>30337</v>
      </c>
    </row>
    <row r="14" spans="2:14" x14ac:dyDescent="0.35">
      <c r="B14" t="s">
        <v>73</v>
      </c>
      <c r="C14" s="8">
        <v>27722</v>
      </c>
      <c r="D14" s="8">
        <v>29176</v>
      </c>
      <c r="E14" s="8">
        <v>19153</v>
      </c>
      <c r="F14" s="8">
        <v>16770</v>
      </c>
      <c r="G14" s="8">
        <v>15551</v>
      </c>
      <c r="H14" s="8">
        <v>13562</v>
      </c>
      <c r="I14" s="8">
        <v>17612</v>
      </c>
      <c r="J14" s="8">
        <v>12270</v>
      </c>
      <c r="K14" s="8">
        <v>6534</v>
      </c>
      <c r="L14" s="8">
        <v>8191</v>
      </c>
      <c r="M14" s="8">
        <v>14265</v>
      </c>
      <c r="N14" s="8">
        <v>8727</v>
      </c>
    </row>
    <row r="15" spans="2:14" x14ac:dyDescent="0.35">
      <c r="B15" t="s">
        <v>74</v>
      </c>
      <c r="C15">
        <v>332</v>
      </c>
      <c r="D15">
        <v>531</v>
      </c>
      <c r="E15">
        <v>715</v>
      </c>
      <c r="F15">
        <v>760</v>
      </c>
      <c r="G15" s="8">
        <v>1304</v>
      </c>
      <c r="H15" s="8">
        <v>1069</v>
      </c>
      <c r="I15" s="8">
        <v>1138</v>
      </c>
      <c r="J15" s="8">
        <v>1576</v>
      </c>
      <c r="K15" s="8">
        <v>2124</v>
      </c>
      <c r="L15" s="8">
        <v>8748</v>
      </c>
      <c r="M15" s="8">
        <v>5532</v>
      </c>
      <c r="N15" s="8">
        <v>5571</v>
      </c>
    </row>
    <row r="16" spans="2:14" x14ac:dyDescent="0.35">
      <c r="B16" t="s">
        <v>75</v>
      </c>
      <c r="C16" s="8">
        <v>10159</v>
      </c>
      <c r="D16" s="8">
        <v>12967</v>
      </c>
      <c r="E16" s="8">
        <v>14228</v>
      </c>
      <c r="F16" s="8">
        <v>17193</v>
      </c>
      <c r="G16" s="8">
        <v>18316</v>
      </c>
      <c r="H16" s="8">
        <v>17554</v>
      </c>
      <c r="I16" s="8">
        <v>18624</v>
      </c>
      <c r="J16" s="8">
        <v>22049</v>
      </c>
      <c r="K16" s="8">
        <v>27259</v>
      </c>
      <c r="L16" s="8">
        <v>23596</v>
      </c>
      <c r="M16" s="8">
        <v>25574</v>
      </c>
      <c r="N16" s="8">
        <v>28643</v>
      </c>
    </row>
    <row r="17" spans="2:14" x14ac:dyDescent="0.35">
      <c r="B17" t="s">
        <v>76</v>
      </c>
      <c r="C17" s="8">
        <v>61813</v>
      </c>
      <c r="D17" s="8">
        <v>72732</v>
      </c>
      <c r="E17" s="8">
        <v>79885</v>
      </c>
      <c r="F17" s="8">
        <v>75372</v>
      </c>
      <c r="G17" s="8">
        <v>78389</v>
      </c>
      <c r="H17" s="8">
        <v>80485</v>
      </c>
      <c r="I17" s="8">
        <v>93428</v>
      </c>
      <c r="J17" s="8">
        <v>98546</v>
      </c>
      <c r="K17" s="8">
        <v>100558</v>
      </c>
      <c r="L17" s="8">
        <v>114950</v>
      </c>
      <c r="M17" s="8">
        <v>124439</v>
      </c>
      <c r="N17" s="8">
        <v>125701</v>
      </c>
    </row>
    <row r="19" spans="2:14" x14ac:dyDescent="0.35">
      <c r="B19" t="s">
        <v>164</v>
      </c>
      <c r="C19" s="11">
        <v>124</v>
      </c>
      <c r="D19" s="11">
        <v>623</v>
      </c>
      <c r="E19" s="11">
        <v>269</v>
      </c>
      <c r="F19" s="11">
        <v>738</v>
      </c>
      <c r="G19" s="18">
        <v>1604</v>
      </c>
      <c r="H19" s="18">
        <v>1529</v>
      </c>
      <c r="I19" s="18">
        <v>1562</v>
      </c>
      <c r="J19" s="18">
        <v>2669</v>
      </c>
      <c r="K19" s="18">
        <v>2426</v>
      </c>
      <c r="L19" s="18">
        <v>2493</v>
      </c>
      <c r="M19" s="18">
        <v>2728</v>
      </c>
      <c r="N19" s="18">
        <v>3539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76F3-559B-4682-BF04-ACE9684328DA}">
  <dimension ref="B3:N29"/>
  <sheetViews>
    <sheetView workbookViewId="0">
      <selection activeCell="C5" sqref="C5"/>
    </sheetView>
  </sheetViews>
  <sheetFormatPr defaultRowHeight="14.5" x14ac:dyDescent="0.35"/>
  <cols>
    <col min="2" max="2" width="25" bestFit="1" customWidth="1"/>
  </cols>
  <sheetData>
    <row r="3" spans="2:14" x14ac:dyDescent="0.35">
      <c r="C3" s="9">
        <v>42064</v>
      </c>
      <c r="D3" s="9">
        <v>42430</v>
      </c>
      <c r="E3" s="9">
        <v>42795</v>
      </c>
      <c r="F3" s="9">
        <v>43160</v>
      </c>
      <c r="G3" s="9">
        <v>43525</v>
      </c>
      <c r="H3" s="9">
        <v>43891</v>
      </c>
      <c r="I3" s="9">
        <v>44256</v>
      </c>
      <c r="J3" s="9">
        <v>44621</v>
      </c>
      <c r="K3" s="9">
        <v>44986</v>
      </c>
      <c r="L3" s="9">
        <v>45352</v>
      </c>
      <c r="M3" s="9">
        <v>45717</v>
      </c>
      <c r="N3" s="9">
        <v>46082</v>
      </c>
    </row>
    <row r="4" spans="2:14" x14ac:dyDescent="0.35">
      <c r="B4" t="s">
        <v>98</v>
      </c>
      <c r="C4" s="8">
        <v>7955</v>
      </c>
      <c r="D4" s="8">
        <v>9578</v>
      </c>
      <c r="E4" s="8">
        <v>10478</v>
      </c>
      <c r="F4" s="8">
        <v>12475</v>
      </c>
      <c r="G4" s="8">
        <v>13989</v>
      </c>
      <c r="H4" s="8">
        <v>15572</v>
      </c>
      <c r="I4" s="8">
        <v>19902</v>
      </c>
      <c r="J4" s="8">
        <v>22096</v>
      </c>
      <c r="K4" s="8">
        <v>19169</v>
      </c>
      <c r="L4" s="8">
        <v>20787</v>
      </c>
      <c r="M4" s="8">
        <v>29409</v>
      </c>
      <c r="N4" s="8">
        <v>28164</v>
      </c>
    </row>
    <row r="5" spans="2:14" x14ac:dyDescent="0.35">
      <c r="B5" t="s">
        <v>77</v>
      </c>
      <c r="C5" s="8">
        <v>15028</v>
      </c>
      <c r="D5" s="8">
        <v>16425</v>
      </c>
      <c r="E5" s="8">
        <v>17938</v>
      </c>
      <c r="F5" s="8">
        <v>18797</v>
      </c>
      <c r="G5" s="8">
        <v>20577</v>
      </c>
      <c r="H5" s="8">
        <v>21355</v>
      </c>
      <c r="I5" s="8">
        <v>25782</v>
      </c>
      <c r="J5" s="8">
        <v>29083</v>
      </c>
      <c r="K5" s="8">
        <v>32207</v>
      </c>
      <c r="L5" s="8">
        <v>33650</v>
      </c>
      <c r="M5" s="8">
        <v>35181</v>
      </c>
      <c r="N5" s="8">
        <v>38082</v>
      </c>
    </row>
    <row r="6" spans="2:14" x14ac:dyDescent="0.35">
      <c r="B6" t="s">
        <v>40</v>
      </c>
      <c r="C6" s="8">
        <v>-1433</v>
      </c>
      <c r="D6" s="8">
        <v>-1373</v>
      </c>
      <c r="E6" s="8">
        <v>-1825</v>
      </c>
      <c r="F6" s="8">
        <v>-1579</v>
      </c>
      <c r="G6" s="8">
        <v>-2268</v>
      </c>
      <c r="H6" s="8">
        <v>-3621</v>
      </c>
      <c r="I6" s="8">
        <v>-1414</v>
      </c>
      <c r="J6" s="8">
        <v>-5725</v>
      </c>
      <c r="K6" s="8">
        <v>-5065</v>
      </c>
      <c r="L6" s="8">
        <v>-2933</v>
      </c>
      <c r="M6" s="8">
        <v>-2994</v>
      </c>
      <c r="N6" s="8">
        <v>-6018</v>
      </c>
    </row>
    <row r="7" spans="2:14" x14ac:dyDescent="0.35">
      <c r="B7" t="s">
        <v>78</v>
      </c>
      <c r="C7">
        <v>0</v>
      </c>
      <c r="D7">
        <v>499</v>
      </c>
      <c r="E7">
        <v>-354</v>
      </c>
      <c r="F7">
        <v>466</v>
      </c>
      <c r="G7">
        <v>866</v>
      </c>
      <c r="H7">
        <v>-75</v>
      </c>
      <c r="I7">
        <v>-5</v>
      </c>
      <c r="J7" s="8">
        <v>1112</v>
      </c>
      <c r="K7">
        <v>-243</v>
      </c>
      <c r="L7">
        <v>67</v>
      </c>
      <c r="M7">
        <v>236</v>
      </c>
      <c r="N7">
        <v>812</v>
      </c>
    </row>
    <row r="8" spans="2:14" x14ac:dyDescent="0.35">
      <c r="B8" t="s">
        <v>79</v>
      </c>
      <c r="C8">
        <v>-326</v>
      </c>
      <c r="D8">
        <v>0</v>
      </c>
      <c r="E8">
        <v>0</v>
      </c>
      <c r="F8">
        <v>0</v>
      </c>
      <c r="G8">
        <v>0</v>
      </c>
      <c r="H8">
        <v>0</v>
      </c>
      <c r="I8">
        <v>-684</v>
      </c>
      <c r="J8" s="8">
        <v>-1125</v>
      </c>
      <c r="K8" s="8">
        <v>-2171</v>
      </c>
      <c r="L8" s="8">
        <v>-1645</v>
      </c>
      <c r="M8" s="8">
        <v>-1942</v>
      </c>
      <c r="N8" s="8">
        <v>-3870</v>
      </c>
    </row>
    <row r="9" spans="2:14" x14ac:dyDescent="0.35">
      <c r="B9" t="s">
        <v>80</v>
      </c>
      <c r="C9" s="8">
        <v>1175</v>
      </c>
      <c r="D9">
        <v>-623</v>
      </c>
      <c r="E9">
        <v>-248</v>
      </c>
      <c r="F9">
        <v>845</v>
      </c>
      <c r="G9" s="8">
        <v>1085</v>
      </c>
      <c r="H9" s="8">
        <v>1794</v>
      </c>
      <c r="I9" s="8">
        <v>2284</v>
      </c>
      <c r="J9" s="8">
        <v>5487</v>
      </c>
      <c r="K9" s="8">
        <v>2248</v>
      </c>
      <c r="L9">
        <v>-117</v>
      </c>
      <c r="M9" s="8">
        <v>3529</v>
      </c>
      <c r="N9" s="8">
        <v>6330</v>
      </c>
    </row>
    <row r="10" spans="2:14" x14ac:dyDescent="0.35">
      <c r="B10" t="s">
        <v>81</v>
      </c>
      <c r="C10">
        <v>-584</v>
      </c>
      <c r="D10" s="8">
        <v>-1497</v>
      </c>
      <c r="E10" s="8">
        <v>-2427</v>
      </c>
      <c r="F10">
        <v>-268</v>
      </c>
      <c r="G10">
        <v>-317</v>
      </c>
      <c r="H10" s="8">
        <v>-1902</v>
      </c>
      <c r="I10">
        <v>181</v>
      </c>
      <c r="J10">
        <v>-251</v>
      </c>
      <c r="K10" s="8">
        <v>-5231</v>
      </c>
      <c r="L10" s="8">
        <v>-4628</v>
      </c>
      <c r="M10" s="8">
        <v>-1171</v>
      </c>
      <c r="N10" s="8">
        <v>-2746</v>
      </c>
    </row>
    <row r="11" spans="2:14" x14ac:dyDescent="0.35">
      <c r="B11" t="s">
        <v>82</v>
      </c>
      <c r="C11" s="8">
        <v>-6489</v>
      </c>
      <c r="D11" s="8">
        <v>-5350</v>
      </c>
      <c r="E11" s="8">
        <v>-5033</v>
      </c>
      <c r="F11" s="8">
        <v>-6054</v>
      </c>
      <c r="G11" s="8">
        <v>-6271</v>
      </c>
      <c r="H11" s="8">
        <v>-3881</v>
      </c>
      <c r="I11" s="8">
        <v>-6061</v>
      </c>
      <c r="J11" s="8">
        <v>-6736</v>
      </c>
      <c r="K11" s="8">
        <v>-7807</v>
      </c>
      <c r="L11" s="8">
        <v>-8235</v>
      </c>
      <c r="M11" s="8">
        <v>-4601</v>
      </c>
      <c r="N11" s="8">
        <v>-7172</v>
      </c>
    </row>
    <row r="12" spans="2:14" x14ac:dyDescent="0.35">
      <c r="B12" t="s">
        <v>99</v>
      </c>
      <c r="C12">
        <v>628</v>
      </c>
      <c r="D12" s="8">
        <v>-1216</v>
      </c>
      <c r="E12" s="8">
        <v>-13533</v>
      </c>
      <c r="F12" s="8">
        <v>5678</v>
      </c>
      <c r="G12">
        <v>-637</v>
      </c>
      <c r="H12">
        <v>-170</v>
      </c>
      <c r="I12" s="8">
        <v>-6286</v>
      </c>
      <c r="J12" s="8">
        <v>-3163</v>
      </c>
      <c r="K12">
        <v>952</v>
      </c>
      <c r="L12" s="8">
        <v>-3305</v>
      </c>
      <c r="M12" s="8">
        <v>-1956</v>
      </c>
      <c r="N12" s="8">
        <v>4085</v>
      </c>
    </row>
    <row r="13" spans="2:14" x14ac:dyDescent="0.35">
      <c r="B13" t="s">
        <v>83</v>
      </c>
      <c r="C13" s="8">
        <v>-1986</v>
      </c>
      <c r="D13" s="8">
        <v>-2308</v>
      </c>
      <c r="E13" s="8">
        <v>-2292</v>
      </c>
      <c r="F13" s="8">
        <v>-1842</v>
      </c>
      <c r="G13" s="8">
        <v>-2306</v>
      </c>
      <c r="H13" s="8">
        <v>-3063</v>
      </c>
      <c r="I13" s="8">
        <v>-1720</v>
      </c>
      <c r="J13" s="8">
        <v>-1787</v>
      </c>
      <c r="K13" s="8">
        <v>-2130</v>
      </c>
      <c r="L13" s="8">
        <v>-1832</v>
      </c>
      <c r="M13" s="8">
        <v>-1587</v>
      </c>
      <c r="N13" s="8">
        <v>-2170</v>
      </c>
    </row>
    <row r="14" spans="2:14" x14ac:dyDescent="0.35">
      <c r="B14" t="s">
        <v>84</v>
      </c>
      <c r="C14" s="8">
        <v>-23184</v>
      </c>
      <c r="D14" s="8">
        <v>-23180</v>
      </c>
      <c r="E14" s="8">
        <v>-53667</v>
      </c>
      <c r="F14" s="8">
        <v>-57555</v>
      </c>
      <c r="G14" s="8">
        <v>-74347</v>
      </c>
      <c r="H14" s="8">
        <v>-32846</v>
      </c>
      <c r="I14" s="8">
        <v>-42876</v>
      </c>
      <c r="J14" s="8">
        <v>-53055</v>
      </c>
      <c r="K14" s="8">
        <v>-67225</v>
      </c>
      <c r="L14" s="8">
        <v>-68539</v>
      </c>
      <c r="M14" s="8">
        <v>-76144</v>
      </c>
      <c r="N14" s="8">
        <v>-73086</v>
      </c>
    </row>
    <row r="15" spans="2:14" x14ac:dyDescent="0.35">
      <c r="B15" t="s">
        <v>85</v>
      </c>
      <c r="C15" s="8">
        <v>24406</v>
      </c>
      <c r="D15" s="8">
        <v>23545</v>
      </c>
      <c r="E15" s="8">
        <v>47917</v>
      </c>
      <c r="F15" s="8">
        <v>59823</v>
      </c>
      <c r="G15" s="8">
        <v>72846</v>
      </c>
      <c r="H15" s="8">
        <v>34591</v>
      </c>
      <c r="I15" s="8">
        <v>37340</v>
      </c>
      <c r="J15" s="8">
        <v>52180</v>
      </c>
      <c r="K15" s="8">
        <v>68505</v>
      </c>
      <c r="L15" s="8">
        <v>62729</v>
      </c>
      <c r="M15" s="8">
        <v>77550</v>
      </c>
      <c r="N15" s="8">
        <v>79455</v>
      </c>
    </row>
    <row r="16" spans="2:14" x14ac:dyDescent="0.35">
      <c r="B16" t="s">
        <v>86</v>
      </c>
      <c r="C16">
        <v>0</v>
      </c>
      <c r="D16">
        <v>0</v>
      </c>
      <c r="E16">
        <v>0</v>
      </c>
      <c r="F16" s="8">
        <v>1708</v>
      </c>
      <c r="G16" s="8">
        <v>1644</v>
      </c>
      <c r="H16" s="8">
        <v>1817</v>
      </c>
      <c r="I16" s="8">
        <v>1340</v>
      </c>
      <c r="J16" s="8">
        <v>1658</v>
      </c>
      <c r="K16" s="8">
        <v>1299</v>
      </c>
      <c r="L16" s="8">
        <v>1441</v>
      </c>
      <c r="M16" s="8">
        <v>1672</v>
      </c>
      <c r="N16" s="8">
        <v>2269</v>
      </c>
    </row>
    <row r="17" spans="2:14" x14ac:dyDescent="0.35">
      <c r="B17" t="s">
        <v>87</v>
      </c>
      <c r="C17" s="8">
        <v>2394</v>
      </c>
      <c r="D17">
        <v>0</v>
      </c>
      <c r="E17" s="8">
        <v>2640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2:14" x14ac:dyDescent="0.35">
      <c r="B18" t="s">
        <v>88</v>
      </c>
      <c r="C18">
        <v>0</v>
      </c>
      <c r="D18" s="8">
        <v>2302</v>
      </c>
      <c r="E18">
        <v>0</v>
      </c>
      <c r="F18">
        <v>846</v>
      </c>
      <c r="G18">
        <v>0</v>
      </c>
      <c r="H18">
        <v>0</v>
      </c>
      <c r="I18">
        <v>321</v>
      </c>
      <c r="J18" s="8">
        <v>1218</v>
      </c>
      <c r="K18" s="8">
        <v>1463</v>
      </c>
      <c r="L18" s="8">
        <v>2976</v>
      </c>
      <c r="M18" s="8">
        <v>1522</v>
      </c>
      <c r="N18" s="8">
        <v>2676</v>
      </c>
    </row>
    <row r="19" spans="2:14" x14ac:dyDescent="0.35">
      <c r="B19" t="s">
        <v>89</v>
      </c>
      <c r="C19" s="8">
        <v>-1748</v>
      </c>
      <c r="D19">
        <v>0</v>
      </c>
      <c r="E19">
        <v>-369</v>
      </c>
      <c r="F19">
        <v>-212</v>
      </c>
      <c r="G19">
        <v>-228</v>
      </c>
      <c r="H19" s="8">
        <v>-1338</v>
      </c>
      <c r="I19" s="8">
        <v>-1530</v>
      </c>
      <c r="J19">
        <v>-127</v>
      </c>
      <c r="K19" s="8">
        <v>-1530</v>
      </c>
      <c r="L19">
        <v>-63</v>
      </c>
      <c r="M19" s="8">
        <v>-4361</v>
      </c>
      <c r="N19">
        <v>-781</v>
      </c>
    </row>
    <row r="20" spans="2:14" x14ac:dyDescent="0.35">
      <c r="B20" t="s">
        <v>90</v>
      </c>
      <c r="C20">
        <v>0</v>
      </c>
      <c r="D20">
        <v>0</v>
      </c>
      <c r="E20">
        <v>0</v>
      </c>
      <c r="F20">
        <v>-106</v>
      </c>
      <c r="G20">
        <v>-678</v>
      </c>
      <c r="H20" s="8">
        <v>-1210</v>
      </c>
      <c r="I20">
        <v>-76</v>
      </c>
      <c r="J20">
        <v>0</v>
      </c>
      <c r="K20">
        <v>-427</v>
      </c>
      <c r="L20">
        <v>0</v>
      </c>
      <c r="M20">
        <v>-10</v>
      </c>
      <c r="N20">
        <v>0</v>
      </c>
    </row>
    <row r="21" spans="2:14" x14ac:dyDescent="0.35">
      <c r="B21" t="s">
        <v>91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173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5">
      <c r="B22" t="s">
        <v>92</v>
      </c>
      <c r="C22">
        <v>0</v>
      </c>
      <c r="D22">
        <v>-258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5">
      <c r="B23" t="s">
        <v>93</v>
      </c>
      <c r="C23">
        <v>746</v>
      </c>
      <c r="D23" s="8">
        <v>-1317</v>
      </c>
      <c r="E23" s="8">
        <v>-7762</v>
      </c>
      <c r="F23" s="8">
        <v>3016</v>
      </c>
      <c r="G23" s="8">
        <v>2432</v>
      </c>
      <c r="H23" s="8">
        <v>1879</v>
      </c>
      <c r="I23">
        <v>742</v>
      </c>
      <c r="J23" s="8">
        <v>-3250</v>
      </c>
      <c r="K23">
        <v>997</v>
      </c>
      <c r="L23">
        <v>-17</v>
      </c>
      <c r="M23">
        <v>-598</v>
      </c>
      <c r="N23" s="8">
        <v>-4278</v>
      </c>
    </row>
    <row r="24" spans="2:14" x14ac:dyDescent="0.35">
      <c r="B24" t="s">
        <v>100</v>
      </c>
      <c r="C24" s="8">
        <v>-4961</v>
      </c>
      <c r="D24" s="8">
        <v>-6908</v>
      </c>
      <c r="E24" s="8">
        <v>-6968</v>
      </c>
      <c r="F24" s="8">
        <v>-20536</v>
      </c>
      <c r="G24" s="8">
        <v>-14571</v>
      </c>
      <c r="H24" s="8">
        <v>-17391</v>
      </c>
      <c r="I24" s="8">
        <v>-9566</v>
      </c>
      <c r="J24" s="8">
        <v>-24275</v>
      </c>
      <c r="K24" s="8">
        <v>-25857</v>
      </c>
      <c r="L24" s="8">
        <v>-15825</v>
      </c>
      <c r="M24" s="8">
        <v>-21379</v>
      </c>
      <c r="N24" s="8">
        <v>-37787</v>
      </c>
    </row>
    <row r="25" spans="2:14" x14ac:dyDescent="0.35">
      <c r="B25" t="s">
        <v>94</v>
      </c>
      <c r="C25">
        <v>0</v>
      </c>
      <c r="D25">
        <v>0</v>
      </c>
      <c r="E25">
        <v>0</v>
      </c>
      <c r="F25">
        <v>5</v>
      </c>
      <c r="G25">
        <v>3</v>
      </c>
      <c r="H25">
        <v>2</v>
      </c>
      <c r="I25">
        <v>9</v>
      </c>
      <c r="J25">
        <v>11</v>
      </c>
      <c r="K25">
        <v>30</v>
      </c>
      <c r="L25">
        <v>1</v>
      </c>
      <c r="M25">
        <v>3</v>
      </c>
      <c r="N25">
        <v>2</v>
      </c>
    </row>
    <row r="26" spans="2:14" x14ac:dyDescent="0.35">
      <c r="B26" t="s">
        <v>95</v>
      </c>
      <c r="C26" s="8">
        <v>-4935</v>
      </c>
      <c r="D26" s="8">
        <v>-6841</v>
      </c>
      <c r="E26" s="8">
        <v>-6968</v>
      </c>
      <c r="F26" s="8">
        <v>-7495</v>
      </c>
      <c r="G26" s="8">
        <v>-13761</v>
      </c>
      <c r="H26" s="8">
        <v>-9551</v>
      </c>
      <c r="I26" s="8">
        <v>-9155</v>
      </c>
      <c r="J26" s="8">
        <v>-12697</v>
      </c>
      <c r="K26" s="8">
        <v>-13674</v>
      </c>
      <c r="L26" s="8">
        <v>-14733</v>
      </c>
      <c r="M26" s="8">
        <v>-20337</v>
      </c>
      <c r="N26" s="8">
        <v>-18694</v>
      </c>
    </row>
    <row r="27" spans="2:14" x14ac:dyDescent="0.35">
      <c r="B27" t="s">
        <v>96</v>
      </c>
      <c r="C27">
        <v>0</v>
      </c>
      <c r="D27">
        <v>0</v>
      </c>
      <c r="E27">
        <v>0</v>
      </c>
      <c r="F27">
        <v>0</v>
      </c>
      <c r="G27">
        <v>0</v>
      </c>
      <c r="H27">
        <v>-364</v>
      </c>
      <c r="I27">
        <v>-420</v>
      </c>
      <c r="J27">
        <v>-598</v>
      </c>
      <c r="K27">
        <v>-694</v>
      </c>
      <c r="L27">
        <v>-850</v>
      </c>
      <c r="M27">
        <v>-859</v>
      </c>
      <c r="N27">
        <v>-912</v>
      </c>
    </row>
    <row r="28" spans="2:14" x14ac:dyDescent="0.35">
      <c r="B28" t="s">
        <v>97</v>
      </c>
      <c r="C28">
        <v>-26</v>
      </c>
      <c r="D28">
        <v>-67</v>
      </c>
      <c r="E28">
        <v>0</v>
      </c>
      <c r="F28" s="8">
        <v>-13046</v>
      </c>
      <c r="G28">
        <v>-813</v>
      </c>
      <c r="H28" s="8">
        <v>-7478</v>
      </c>
      <c r="I28">
        <v>0</v>
      </c>
      <c r="J28" s="8">
        <v>-10991</v>
      </c>
      <c r="K28" s="8">
        <v>-11519</v>
      </c>
      <c r="L28">
        <v>-243</v>
      </c>
      <c r="M28">
        <v>-186</v>
      </c>
      <c r="N28" s="8">
        <v>-18183</v>
      </c>
    </row>
    <row r="29" spans="2:14" x14ac:dyDescent="0.35">
      <c r="B29" t="s">
        <v>50</v>
      </c>
      <c r="C29" s="8">
        <v>3622</v>
      </c>
      <c r="D29" s="8">
        <v>1454</v>
      </c>
      <c r="E29" s="8">
        <v>-10023</v>
      </c>
      <c r="F29" s="8">
        <v>-2383</v>
      </c>
      <c r="G29" s="8">
        <v>-1219</v>
      </c>
      <c r="H29" s="8">
        <v>-1989</v>
      </c>
      <c r="I29" s="8">
        <v>4050</v>
      </c>
      <c r="J29" s="8">
        <v>-5342</v>
      </c>
      <c r="K29" s="8">
        <v>-5736</v>
      </c>
      <c r="L29" s="8">
        <v>1657</v>
      </c>
      <c r="M29" s="8">
        <v>6074</v>
      </c>
      <c r="N29" s="8">
        <v>-5538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8AFC-2EA7-449D-897C-FEA29345C136}">
  <dimension ref="B3:O18"/>
  <sheetViews>
    <sheetView topLeftCell="A3" workbookViewId="0">
      <selection activeCell="E11" sqref="E11"/>
    </sheetView>
  </sheetViews>
  <sheetFormatPr defaultRowHeight="14.5" x14ac:dyDescent="0.35"/>
  <cols>
    <col min="2" max="2" width="13.6328125" bestFit="1" customWidth="1"/>
    <col min="3" max="3" width="6.54296875" bestFit="1" customWidth="1"/>
    <col min="4" max="4" width="7.54296875" bestFit="1" customWidth="1"/>
    <col min="5" max="9" width="6.54296875" bestFit="1" customWidth="1"/>
    <col min="10" max="15" width="7.90625" bestFit="1" customWidth="1"/>
  </cols>
  <sheetData>
    <row r="3" spans="2:15" x14ac:dyDescent="0.35">
      <c r="C3" s="9">
        <v>42064</v>
      </c>
      <c r="D3" s="9">
        <v>42430</v>
      </c>
      <c r="E3" s="9">
        <v>42795</v>
      </c>
      <c r="F3" s="9">
        <v>43160</v>
      </c>
      <c r="G3" s="9">
        <v>43525</v>
      </c>
      <c r="H3" s="9">
        <v>43891</v>
      </c>
      <c r="I3" s="9">
        <v>44256</v>
      </c>
      <c r="J3" s="9">
        <v>44621</v>
      </c>
      <c r="K3" s="9">
        <v>44986</v>
      </c>
      <c r="L3" s="9">
        <v>45352</v>
      </c>
      <c r="M3" s="9">
        <v>45717</v>
      </c>
      <c r="N3" s="9">
        <v>46082</v>
      </c>
      <c r="O3" t="s">
        <v>179</v>
      </c>
    </row>
    <row r="4" spans="2:15" x14ac:dyDescent="0.35">
      <c r="B4" t="s">
        <v>182</v>
      </c>
      <c r="C4" s="8">
        <v>47300</v>
      </c>
      <c r="D4" s="8">
        <v>53983</v>
      </c>
      <c r="E4" s="8">
        <v>59289</v>
      </c>
      <c r="F4" s="8">
        <v>61941</v>
      </c>
      <c r="G4" s="8">
        <v>73107</v>
      </c>
      <c r="H4" s="8">
        <v>79047</v>
      </c>
      <c r="I4" s="8">
        <v>85912</v>
      </c>
      <c r="J4" s="8">
        <v>103940</v>
      </c>
      <c r="K4" s="8">
        <v>124014</v>
      </c>
      <c r="L4" s="8">
        <v>128933</v>
      </c>
      <c r="M4" s="8">
        <v>136592</v>
      </c>
      <c r="N4" s="8">
        <v>148819</v>
      </c>
      <c r="O4" s="8">
        <v>153501</v>
      </c>
    </row>
    <row r="5" spans="2:15" x14ac:dyDescent="0.35">
      <c r="B5" t="s">
        <v>183</v>
      </c>
      <c r="C5" s="8">
        <v>33330</v>
      </c>
      <c r="D5" s="8">
        <v>38274</v>
      </c>
      <c r="E5" s="8">
        <v>42082</v>
      </c>
      <c r="F5" s="8">
        <v>44644</v>
      </c>
      <c r="G5" s="8">
        <v>54433</v>
      </c>
      <c r="H5" s="8">
        <v>59012</v>
      </c>
      <c r="I5" s="8">
        <v>61455</v>
      </c>
      <c r="J5" s="8">
        <v>76112</v>
      </c>
      <c r="K5" s="8">
        <v>93320</v>
      </c>
      <c r="L5" s="8">
        <v>97176</v>
      </c>
      <c r="M5" s="8">
        <v>103093</v>
      </c>
      <c r="N5" s="8">
        <v>112806</v>
      </c>
      <c r="O5" s="8">
        <v>115974</v>
      </c>
    </row>
    <row r="6" spans="2:15" x14ac:dyDescent="0.35">
      <c r="B6" t="s">
        <v>29</v>
      </c>
      <c r="C6" s="8">
        <v>13970</v>
      </c>
      <c r="D6" s="8">
        <v>15709</v>
      </c>
      <c r="E6" s="8">
        <v>17207</v>
      </c>
      <c r="F6" s="8">
        <v>17297</v>
      </c>
      <c r="G6" s="8">
        <v>18674</v>
      </c>
      <c r="H6" s="8">
        <v>20035</v>
      </c>
      <c r="I6" s="8">
        <v>24457</v>
      </c>
      <c r="J6" s="8">
        <v>27828</v>
      </c>
      <c r="K6" s="8">
        <v>30694</v>
      </c>
      <c r="L6" s="8">
        <v>31757</v>
      </c>
      <c r="M6" s="8">
        <v>33499</v>
      </c>
      <c r="N6" s="8">
        <v>36013</v>
      </c>
      <c r="O6" s="8">
        <v>37527</v>
      </c>
    </row>
    <row r="7" spans="2:15" x14ac:dyDescent="0.35">
      <c r="B7" t="s">
        <v>180</v>
      </c>
      <c r="C7" s="27">
        <v>0.3</v>
      </c>
      <c r="D7" s="27">
        <v>0.28999999999999998</v>
      </c>
      <c r="E7" s="27">
        <v>0.28999999999999998</v>
      </c>
      <c r="F7" s="27">
        <v>0.28000000000000003</v>
      </c>
      <c r="G7" s="27">
        <v>0.26</v>
      </c>
      <c r="H7" s="27">
        <v>0.25</v>
      </c>
      <c r="I7" s="27">
        <v>0.28000000000000003</v>
      </c>
      <c r="J7" s="27">
        <v>0.27</v>
      </c>
      <c r="K7" s="27">
        <v>0.25</v>
      </c>
      <c r="L7" s="27">
        <v>0.25</v>
      </c>
      <c r="M7" s="27">
        <v>0.25</v>
      </c>
      <c r="N7" s="27">
        <v>0.24</v>
      </c>
      <c r="O7" s="27">
        <v>0.24</v>
      </c>
    </row>
    <row r="8" spans="2:15" x14ac:dyDescent="0.35">
      <c r="B8" t="s">
        <v>184</v>
      </c>
      <c r="C8" s="8">
        <v>3749</v>
      </c>
      <c r="D8" s="8">
        <v>3006</v>
      </c>
      <c r="E8" s="8">
        <v>3062</v>
      </c>
      <c r="F8" s="8">
        <v>4019</v>
      </c>
      <c r="G8" s="8">
        <v>2852</v>
      </c>
      <c r="H8" s="8">
        <v>2700</v>
      </c>
      <c r="I8" s="8">
        <v>2467</v>
      </c>
      <c r="J8" s="8">
        <v>3224</v>
      </c>
      <c r="K8" s="8">
        <v>3859</v>
      </c>
      <c r="L8" s="8">
        <v>7417</v>
      </c>
      <c r="M8" s="8">
        <v>4782</v>
      </c>
      <c r="N8" s="8">
        <v>5345</v>
      </c>
      <c r="O8" s="8">
        <v>5336</v>
      </c>
    </row>
    <row r="9" spans="2:15" x14ac:dyDescent="0.35">
      <c r="B9" t="s">
        <v>22</v>
      </c>
      <c r="C9">
        <v>8</v>
      </c>
      <c r="D9">
        <v>0</v>
      </c>
      <c r="E9">
        <v>0</v>
      </c>
      <c r="F9">
        <v>0</v>
      </c>
      <c r="G9">
        <v>0</v>
      </c>
      <c r="H9">
        <v>114</v>
      </c>
      <c r="I9">
        <v>126</v>
      </c>
      <c r="J9">
        <v>128</v>
      </c>
      <c r="K9">
        <v>157</v>
      </c>
      <c r="L9">
        <v>277</v>
      </c>
      <c r="M9">
        <v>221</v>
      </c>
      <c r="N9">
        <v>207</v>
      </c>
      <c r="O9">
        <v>212</v>
      </c>
    </row>
    <row r="10" spans="2:15" x14ac:dyDescent="0.35">
      <c r="B10" t="s">
        <v>21</v>
      </c>
      <c r="C10">
        <v>913</v>
      </c>
      <c r="D10" s="8">
        <v>1115</v>
      </c>
      <c r="E10" s="8">
        <v>1331</v>
      </c>
      <c r="F10" s="8">
        <v>1408</v>
      </c>
      <c r="G10" s="8">
        <v>1599</v>
      </c>
      <c r="H10" s="8">
        <v>2144</v>
      </c>
      <c r="I10" s="8">
        <v>2321</v>
      </c>
      <c r="J10" s="8">
        <v>2429</v>
      </c>
      <c r="K10" s="8">
        <v>2753</v>
      </c>
      <c r="L10" s="8">
        <v>2944</v>
      </c>
      <c r="M10" s="8">
        <v>2619</v>
      </c>
      <c r="N10" s="8">
        <v>2394</v>
      </c>
      <c r="O10" s="8">
        <v>2394</v>
      </c>
    </row>
    <row r="11" spans="2:15" x14ac:dyDescent="0.35">
      <c r="B11" t="s">
        <v>23</v>
      </c>
      <c r="C11" s="8">
        <v>16798</v>
      </c>
      <c r="D11" s="8">
        <v>17600</v>
      </c>
      <c r="E11" s="8">
        <v>18938</v>
      </c>
      <c r="F11" s="8">
        <v>19908</v>
      </c>
      <c r="G11" s="8">
        <v>19927</v>
      </c>
      <c r="H11" s="8">
        <v>20477</v>
      </c>
      <c r="I11" s="8">
        <v>24477</v>
      </c>
      <c r="J11" s="8">
        <v>28495</v>
      </c>
      <c r="K11" s="8">
        <v>31643</v>
      </c>
      <c r="L11" s="8">
        <v>35953</v>
      </c>
      <c r="M11" s="8">
        <v>35441</v>
      </c>
      <c r="N11" s="8">
        <v>38757</v>
      </c>
      <c r="O11" s="8">
        <v>40257</v>
      </c>
    </row>
    <row r="12" spans="2:15" x14ac:dyDescent="0.35">
      <c r="B12" t="s">
        <v>181</v>
      </c>
      <c r="C12" s="27">
        <v>0.28000000000000003</v>
      </c>
      <c r="D12" s="27">
        <v>0.28000000000000003</v>
      </c>
      <c r="E12" s="27">
        <v>0.27</v>
      </c>
      <c r="F12" s="27">
        <v>0.19</v>
      </c>
      <c r="G12" s="27">
        <v>0.26</v>
      </c>
      <c r="H12" s="27">
        <v>0.24</v>
      </c>
      <c r="I12" s="27">
        <v>0.26</v>
      </c>
      <c r="J12" s="27">
        <v>0.25</v>
      </c>
      <c r="K12" s="27">
        <v>0.26</v>
      </c>
      <c r="L12" s="27">
        <v>0.24</v>
      </c>
      <c r="M12" s="27">
        <v>0.28000000000000003</v>
      </c>
      <c r="N12" s="27">
        <v>0.25</v>
      </c>
    </row>
    <row r="13" spans="2:15" x14ac:dyDescent="0.35">
      <c r="B13" t="s">
        <v>185</v>
      </c>
      <c r="C13" s="8">
        <v>12164</v>
      </c>
      <c r="D13" s="8">
        <v>12693</v>
      </c>
      <c r="E13" s="8">
        <v>13818</v>
      </c>
      <c r="F13" s="8">
        <v>16155</v>
      </c>
      <c r="G13" s="8">
        <v>14702</v>
      </c>
      <c r="H13" s="8">
        <v>15543</v>
      </c>
      <c r="I13" s="8">
        <v>18048</v>
      </c>
      <c r="J13" s="8">
        <v>21235</v>
      </c>
      <c r="K13" s="8">
        <v>23268</v>
      </c>
      <c r="L13" s="8">
        <v>27234</v>
      </c>
      <c r="M13" s="8">
        <v>25568</v>
      </c>
      <c r="N13" s="8">
        <v>29211</v>
      </c>
      <c r="O13" s="8">
        <v>30346</v>
      </c>
    </row>
    <row r="16" spans="2:15" x14ac:dyDescent="0.35">
      <c r="D16">
        <f>0.1213*D5</f>
        <v>4642.6361999999999</v>
      </c>
    </row>
    <row r="17" spans="4:4" x14ac:dyDescent="0.35">
      <c r="D17">
        <f>0.0651*D5</f>
        <v>2491.6374000000001</v>
      </c>
    </row>
    <row r="18" spans="4:4" x14ac:dyDescent="0.35">
      <c r="D18">
        <f>SUM(D16:D17)</f>
        <v>7134.2736000000004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51A5-3A4E-43B1-8042-C9427D2E9D6D}">
  <dimension ref="C3:P13"/>
  <sheetViews>
    <sheetView workbookViewId="0">
      <selection activeCell="C3" sqref="C3:O13"/>
    </sheetView>
  </sheetViews>
  <sheetFormatPr defaultRowHeight="14.5" x14ac:dyDescent="0.35"/>
  <cols>
    <col min="3" max="3" width="41.26953125" bestFit="1" customWidth="1"/>
  </cols>
  <sheetData>
    <row r="3" spans="3:16" x14ac:dyDescent="0.35">
      <c r="C3" s="16" t="s">
        <v>61</v>
      </c>
      <c r="D3" s="17">
        <v>42064</v>
      </c>
      <c r="E3" s="17">
        <v>42430</v>
      </c>
      <c r="F3" s="17">
        <v>42795</v>
      </c>
      <c r="G3" s="17">
        <v>43160</v>
      </c>
      <c r="H3" s="17">
        <v>43525</v>
      </c>
      <c r="I3" s="17">
        <v>43891</v>
      </c>
      <c r="J3" s="17">
        <v>44256</v>
      </c>
      <c r="K3" s="17">
        <v>44621</v>
      </c>
      <c r="L3" s="17">
        <v>44986</v>
      </c>
      <c r="M3" s="17">
        <v>45352</v>
      </c>
      <c r="N3" s="17">
        <v>45717</v>
      </c>
      <c r="O3" s="17">
        <v>46082</v>
      </c>
      <c r="P3" s="10"/>
    </row>
    <row r="4" spans="3:16" x14ac:dyDescent="0.35">
      <c r="C4" s="12" t="s">
        <v>54</v>
      </c>
      <c r="D4" s="13">
        <v>950</v>
      </c>
      <c r="E4" s="14">
        <v>1092</v>
      </c>
      <c r="F4" s="14">
        <v>1162</v>
      </c>
      <c r="G4" s="14">
        <v>1204</v>
      </c>
      <c r="H4" s="14">
        <v>1279</v>
      </c>
      <c r="I4" s="14">
        <v>1411</v>
      </c>
      <c r="J4" s="14">
        <v>1626</v>
      </c>
      <c r="K4" s="14">
        <v>1741</v>
      </c>
      <c r="L4" s="14">
        <v>1872</v>
      </c>
      <c r="M4" s="14">
        <v>1882</v>
      </c>
      <c r="N4" s="14">
        <v>1869</v>
      </c>
      <c r="O4" s="14">
        <v>1965</v>
      </c>
    </row>
    <row r="5" spans="3:16" x14ac:dyDescent="0.35">
      <c r="C5" s="12" t="s">
        <v>55</v>
      </c>
      <c r="D5" s="13"/>
      <c r="E5" s="13">
        <v>14</v>
      </c>
      <c r="F5" s="13">
        <v>19</v>
      </c>
      <c r="G5" s="13">
        <v>20</v>
      </c>
      <c r="H5" s="13">
        <v>25</v>
      </c>
      <c r="I5" s="13">
        <v>28</v>
      </c>
      <c r="J5" s="13">
        <v>32</v>
      </c>
      <c r="K5" s="13">
        <v>38</v>
      </c>
      <c r="L5" s="13">
        <v>40</v>
      </c>
      <c r="M5" s="13">
        <v>40</v>
      </c>
      <c r="N5" s="13">
        <v>42</v>
      </c>
      <c r="O5" s="13">
        <v>45</v>
      </c>
    </row>
    <row r="6" spans="3:16" x14ac:dyDescent="0.35">
      <c r="C6" s="12" t="s">
        <v>56</v>
      </c>
      <c r="D6" s="13"/>
      <c r="E6" s="14">
        <v>194044</v>
      </c>
      <c r="F6" s="14">
        <v>200364</v>
      </c>
      <c r="G6" s="14">
        <v>204107</v>
      </c>
      <c r="H6" s="14">
        <v>228123</v>
      </c>
      <c r="I6" s="14">
        <v>242371</v>
      </c>
      <c r="J6" s="14">
        <v>259619</v>
      </c>
      <c r="K6" s="14">
        <v>314015</v>
      </c>
      <c r="L6" s="14">
        <v>343234</v>
      </c>
      <c r="M6" s="14">
        <v>317240</v>
      </c>
      <c r="N6" s="14">
        <v>323578</v>
      </c>
      <c r="O6" s="14">
        <v>328594</v>
      </c>
    </row>
    <row r="7" spans="3:16" x14ac:dyDescent="0.35">
      <c r="C7" s="12" t="s">
        <v>63</v>
      </c>
      <c r="D7" s="13"/>
      <c r="E7" s="13">
        <v>2.8</v>
      </c>
      <c r="F7" s="13">
        <v>3.5</v>
      </c>
      <c r="G7" s="13"/>
      <c r="H7" s="13">
        <v>6.3</v>
      </c>
      <c r="I7" s="13">
        <v>9</v>
      </c>
      <c r="J7" s="13">
        <v>14</v>
      </c>
      <c r="K7" s="13">
        <v>9.5</v>
      </c>
      <c r="L7" s="13">
        <v>9.8000000000000007</v>
      </c>
      <c r="M7" s="13">
        <v>17.7</v>
      </c>
      <c r="N7" s="13">
        <v>11.6</v>
      </c>
      <c r="O7" s="13">
        <v>14.9</v>
      </c>
    </row>
    <row r="8" spans="3:16" x14ac:dyDescent="0.35">
      <c r="C8" s="12" t="s">
        <v>64</v>
      </c>
      <c r="D8" s="13"/>
      <c r="E8" s="13">
        <v>13.6</v>
      </c>
      <c r="F8" s="13">
        <v>15</v>
      </c>
      <c r="G8" s="13">
        <v>16.399999999999999</v>
      </c>
      <c r="H8" s="13"/>
      <c r="I8" s="13">
        <v>17.399999999999999</v>
      </c>
      <c r="J8" s="13">
        <v>10.9</v>
      </c>
      <c r="K8" s="13">
        <v>27.7</v>
      </c>
      <c r="L8" s="13">
        <v>20.9</v>
      </c>
      <c r="M8" s="13">
        <v>12.6</v>
      </c>
      <c r="N8" s="13">
        <v>14.1</v>
      </c>
      <c r="O8" s="13">
        <v>12.6</v>
      </c>
    </row>
    <row r="9" spans="3:16" x14ac:dyDescent="0.35">
      <c r="C9" s="12" t="s">
        <v>57</v>
      </c>
      <c r="D9" s="13"/>
      <c r="E9" s="13"/>
      <c r="F9" s="13">
        <v>56</v>
      </c>
      <c r="G9" s="13">
        <v>57</v>
      </c>
      <c r="H9" s="13">
        <v>60</v>
      </c>
      <c r="I9" s="13"/>
      <c r="J9" s="13"/>
      <c r="K9" s="13"/>
      <c r="L9" s="13">
        <v>75</v>
      </c>
      <c r="M9" s="13">
        <v>83</v>
      </c>
      <c r="N9" s="13">
        <v>85</v>
      </c>
      <c r="O9" s="13">
        <v>88</v>
      </c>
    </row>
    <row r="10" spans="3:16" x14ac:dyDescent="0.35">
      <c r="C10" s="12" t="s">
        <v>58</v>
      </c>
      <c r="D10" s="13"/>
      <c r="E10" s="13"/>
      <c r="F10" s="13"/>
      <c r="G10" s="13"/>
      <c r="H10" s="13"/>
      <c r="I10" s="13"/>
      <c r="J10" s="14">
        <v>19000</v>
      </c>
      <c r="K10" s="14">
        <v>60405</v>
      </c>
      <c r="L10" s="14">
        <v>50000</v>
      </c>
      <c r="M10" s="14">
        <v>11900</v>
      </c>
      <c r="N10" s="14">
        <v>15288</v>
      </c>
      <c r="O10" s="14">
        <v>20000</v>
      </c>
    </row>
    <row r="11" spans="3:16" x14ac:dyDescent="0.35">
      <c r="C11" s="12" t="s">
        <v>62</v>
      </c>
      <c r="D11" s="13"/>
      <c r="E11" s="13">
        <v>80.8</v>
      </c>
      <c r="F11" s="13">
        <v>81.7</v>
      </c>
      <c r="G11" s="13">
        <v>84.6</v>
      </c>
      <c r="H11" s="13">
        <v>84.3</v>
      </c>
      <c r="I11" s="13">
        <v>84</v>
      </c>
      <c r="J11" s="13"/>
      <c r="K11" s="13"/>
      <c r="L11" s="13"/>
      <c r="M11" s="13"/>
      <c r="N11" s="13"/>
      <c r="O11" s="13">
        <v>84.4</v>
      </c>
    </row>
    <row r="12" spans="3:16" x14ac:dyDescent="0.35">
      <c r="C12" s="12" t="s">
        <v>59</v>
      </c>
      <c r="D12" s="13"/>
      <c r="E12" s="13"/>
      <c r="F12" s="13">
        <v>53.7</v>
      </c>
      <c r="G12" s="13">
        <v>55.4</v>
      </c>
      <c r="H12" s="13">
        <v>54.9</v>
      </c>
      <c r="I12" s="13">
        <v>54.8</v>
      </c>
      <c r="J12" s="13"/>
      <c r="K12" s="13"/>
      <c r="L12" s="13"/>
      <c r="M12" s="13"/>
      <c r="N12" s="13"/>
      <c r="O12" s="13"/>
    </row>
    <row r="13" spans="3:16" x14ac:dyDescent="0.35">
      <c r="C13" s="12" t="s">
        <v>60</v>
      </c>
      <c r="D13" s="15">
        <v>1.3</v>
      </c>
      <c r="E13" s="15">
        <v>0.8</v>
      </c>
      <c r="F13" s="15">
        <v>0.6</v>
      </c>
      <c r="G13" s="15">
        <v>0.6</v>
      </c>
      <c r="H13" s="15">
        <v>0.6</v>
      </c>
      <c r="I13" s="15">
        <v>0.6</v>
      </c>
      <c r="J13" s="15">
        <v>0.6</v>
      </c>
      <c r="K13" s="15">
        <v>0.5</v>
      </c>
      <c r="L13" s="15">
        <v>0.5</v>
      </c>
      <c r="M13" s="15">
        <v>0.54</v>
      </c>
      <c r="N13" s="15">
        <v>0.62</v>
      </c>
      <c r="O13" s="13"/>
    </row>
  </sheetData>
  <hyperlinks>
    <hyperlink ref="D13" r:id="rId1" display="https://www.bseindia.com/HIS_ANN_RPT/HISTANNR/2015/INFOSYS_LTD-500209-MARCH-2015.PDF" xr:uid="{20CAE7AE-9EAD-4F53-A74F-0F37E5E4B7BD}"/>
    <hyperlink ref="E13" r:id="rId2" display="https://www.bseindia.com/HIS_ANN_RPT/HISTANNR/2016/INFOSYS_LTD-500209-MARCH-2016.PDF" xr:uid="{EBE61D50-B962-425A-9C35-94F1516635C5}"/>
    <hyperlink ref="F13" r:id="rId3" display="https://www.bseindia.com/HIS_ANN_RPT/HISTANNR/2017/INFOSYS_LTD-500209-MARCH-2017.PDF" xr:uid="{173D9365-7519-419B-8F65-9B9B2A116F06}"/>
    <hyperlink ref="G13" r:id="rId4" display="https://www.bseindia.com/HIS_ANN_RPT/HISTANNR/2018/INFOSYS_LTD-500209-MARCH-2018.PDF" xr:uid="{68128554-2060-4FC3-A30F-2C7CE1D43A1E}"/>
    <hyperlink ref="H13" r:id="rId5" display="https://www.bseindia.com/HIS_ANN_RPT/HISTANNR/2019/INFOSYS_LTD-500209-MARCH-2019.PDF" xr:uid="{120F652D-0FCA-48BB-A757-636722DE5200}"/>
    <hyperlink ref="I13" r:id="rId6" display="https://www.bseindia.com/bseplus/AnnualReport/500209/5002090320.pdf" xr:uid="{DFDF06B2-C6FF-438E-AE3E-2847A6F885B1}"/>
    <hyperlink ref="J13" r:id="rId7" display="https://www.infosys.com/investors/reports-filings/annual-report/annual/documents/infosys-ar-21.pdf" xr:uid="{160D4F33-F7C7-4F33-A082-0CD0C0EA7CAB}"/>
    <hyperlink ref="K13" r:id="rId8" display="https://www.bseindia.com/bseplus/AnnualReport/500209/73015500209_29_06_22.pdf" xr:uid="{A8BDB3EB-8775-4CBF-8E09-616C18F7DA7F}"/>
    <hyperlink ref="L13" r:id="rId9" display="https://www.bseindia.com/stockinfo/AnnPdfOpen.aspx?Pname=3ba3c011-0411-49ba-a250-f746a5b9d940.pdf" xr:uid="{5E470101-2167-419F-A2EF-2813F2FFEABD}"/>
    <hyperlink ref="M13" r:id="rId10" display="https://www.bseindia.com/stockinfo/AnnPdfOpen.aspx?Pname=25cc7fbc-154b-4463-928d-c95f2d8c5c9c.pdf" xr:uid="{850F4E95-C648-494D-9754-CD6CC700637B}"/>
    <hyperlink ref="N13" r:id="rId11" display="https://www.bseindia.com/stockinfo/AnnPdfOpen.aspx?Pname=4527f4d2-dac4-4528-a1dc-5070fd9e140d.pdf" xr:uid="{E2B86A1C-E497-455B-9493-0B0D7576E5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DASHBOARD</vt:lpstr>
      <vt:lpstr>FS</vt:lpstr>
      <vt:lpstr>Financials&gt;&gt;</vt:lpstr>
      <vt:lpstr>Historical FS</vt:lpstr>
      <vt:lpstr>Ratio Analysis</vt:lpstr>
      <vt:lpstr>Dupont</vt:lpstr>
      <vt:lpstr>KPIs</vt:lpstr>
      <vt:lpstr>Scenarios&gt;&gt;</vt:lpstr>
      <vt:lpstr>Scenarios</vt:lpstr>
      <vt:lpstr>Forecast&gt;&gt;</vt:lpstr>
      <vt:lpstr>Forecast Drivers</vt:lpstr>
      <vt:lpstr>Forecasted FS</vt:lpstr>
      <vt:lpstr>Comprables</vt:lpstr>
      <vt:lpstr>EV-EBITDA</vt:lpstr>
      <vt:lpstr>DCF Valuation &gt;&gt;</vt:lpstr>
      <vt:lpstr>DCF</vt:lpstr>
      <vt:lpstr>WACC</vt:lpstr>
      <vt:lpstr>CAPM</vt:lpstr>
      <vt:lpstr>BETA</vt:lpstr>
      <vt:lpstr>DATA&gt;&gt;</vt:lpstr>
      <vt:lpstr>DATA Sheet</vt:lpstr>
      <vt:lpstr>Balance sheet</vt:lpstr>
      <vt:lpstr>CF</vt:lpstr>
      <vt:lpstr>P&amp;L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 Anandaraman</dc:creator>
  <cp:lastModifiedBy>Sudha Anandaraman</cp:lastModifiedBy>
  <dcterms:created xsi:type="dcterms:W3CDTF">2026-08-30T05:34:52Z</dcterms:created>
  <dcterms:modified xsi:type="dcterms:W3CDTF">2026-10-06T16:07:56Z</dcterms:modified>
</cp:coreProperties>
</file>